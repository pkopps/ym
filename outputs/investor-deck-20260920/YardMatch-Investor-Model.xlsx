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4fd03a24441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20fa7b1a97243dc"/>
    <x:sheet xmlns:r="http://schemas.openxmlformats.org/officeDocument/2006/relationships" name="Assumptions" sheetId="2" r:id="R53dea2a956d844bd"/>
    <x:sheet xmlns:r="http://schemas.openxmlformats.org/officeDocument/2006/relationships" name="Operating model" sheetId="3" r:id="R18150802c97b4119"/>
    <x:sheet xmlns:r="http://schemas.openxmlformats.org/officeDocument/2006/relationships" name="Ownership" sheetId="4" r:id="R8dc88e9cf94d4ccc"/>
    <x:sheet xmlns:r="http://schemas.openxmlformats.org/officeDocument/2006/relationships" name="Unit economics" sheetId="5" r:id="R3cc4e01cdc9549b5"/>
    <x:sheet xmlns:r="http://schemas.openxmlformats.org/officeDocument/2006/relationships" name="Service mix" sheetId="6" r:id="Ra219691ecbea4f1f"/>
    <x:sheet xmlns:r="http://schemas.openxmlformats.org/officeDocument/2006/relationships" name="Payments" sheetId="7" r:id="R269f99457a4f4ff4"/>
    <x:sheet xmlns:r="http://schemas.openxmlformats.org/officeDocument/2006/relationships" name="Revenue streams" sheetId="8" r:id="Ra490c82f0bd64045"/>
    <x:sheet xmlns:r="http://schemas.openxmlformats.org/officeDocument/2006/relationships" name="National rollout" sheetId="9" r:id="Rc7784632c8354bfd"/>
    <x:sheet xmlns:r="http://schemas.openxmlformats.org/officeDocument/2006/relationships" name="Town inputs" sheetId="10" r:id="Rb38ca349d8ec4165"/>
    <x:sheet xmlns:r="http://schemas.openxmlformats.org/officeDocument/2006/relationships" name="Town forecast" sheetId="11" r:id="R468b00bdaafe49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#,##0;(#,##0);&quot;-&quot;"/>
    <x:numFmt numFmtId="201" formatCode="0.00&quot;x&quot;"/>
    <x:numFmt numFmtId="202" formatCode="0.0%"/>
    <x:numFmt numFmtId="203" formatCode="0.0"/>
    <x:numFmt numFmtId="204" formatCode="$#,##0;($#,##0);&quot;-&quot;"/>
    <x:numFmt numFmtId="205" formatCode="$0.00;($0.00);&quot;-&quot;"/>
    <x:numFmt numFmtId="206" formatCode="0.00"/>
    <x:numFmt numFmtId="207" formatCode="0.00%"/>
    <x:numFmt numFmtId="208" formatCode="@"/>
    <x:numFmt numFmtId="209" formatCode="0%"/>
    <x:numFmt numFmtId="210" formatCode="0"/>
    <x:numFmt numFmtId="211" formatCode="$#,##0&quot;+&quot;"/>
    <x:numFmt numFmtId="212" formatCode="#,##0"/>
    <x:numFmt numFmtId="213" formatCode="$#,##0;($#,##0);&quot;$0&quot;"/>
    <x:numFmt numFmtId="214" formatCode="$0.00"/>
    <x:numFmt numFmtId="215" formatCode="0.000"/>
    <x:numFmt numFmtId="216" formatCode="0.0&quot;x&quot;"/>
  </x:numFmts>
  <x:fonts count="12">
    <x:font>
      <x:sz val="11"/>
      <x:name val="Carlito"/>
    </x:font>
    <x:font>
      <x:sz val="11"/>
      <x:color rgb="FF14281D"/>
      <x:name val="Arial"/>
    </x:font>
    <x:font>
      <x:b/>
      <x:sz val="20"/>
      <x:color rgb="FFFFFFFF"/>
      <x:name val="Arial"/>
    </x:font>
    <x:font>
      <x:b/>
      <x:sz val="11"/>
      <x:color rgb="FF14281D"/>
      <x:name val="Arial"/>
    </x:font>
    <x:font>
      <x:b/>
      <x:sz val="11"/>
      <x:color rgb="FF174DB8"/>
      <x:name val="Arial"/>
    </x:font>
    <x:font>
      <x:sz val="11"/>
      <x:color rgb="FF174DB8"/>
      <x:name val="Arial"/>
    </x:font>
    <x:font>
      <x:sz val="11"/>
      <x:color rgb="FF111111"/>
      <x:name val="Arial"/>
    </x:font>
    <x:font>
      <x:sz val="10"/>
      <x:color rgb="FF66756A"/>
      <x:name val="Arial"/>
    </x:font>
    <x:font>
      <x:b/>
      <x:sz val="10"/>
      <x:color rgb="FF14281D"/>
      <x:name val="Arial"/>
    </x:font>
    <x:font>
      <x:sz val="11"/>
      <x:color rgb="FF205938"/>
      <x:name val="Arial"/>
    </x:font>
    <x:font>
      <x:sz val="11"/>
      <x:color rgb="FF205938"/>
      <x:name val="Carlito"/>
    </x:font>
    <x:font>
      <x:b/>
      <x:sz val="16"/>
      <x:color rgb="FF20593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5938"/>
      </x:patternFill>
    </x:fill>
    <x:fill>
      <x:patternFill patternType="solid">
        <x:fgColor rgb="FFE9EFDF"/>
      </x:patternFill>
    </x:fill>
    <x:fill>
      <x:patternFill patternType="solid">
        <x:fgColor rgb="FFFFF2CE"/>
      </x:patternFill>
    </x:fill>
  </x:fills>
  <x:borders count="1">
    <x:border/>
  </x:borders>
  <x:cellStyleXfs count="1">
    <x:xf numFmtId="0" fontId="0" fillId="0" borderId="0"/>
  </x:cellStyleXfs>
  <x:cellXfs count="8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/>
    <x:xf numFmtId="200" fontId="5" fillId="0" borderId="0" xfId="0" applyNumberFormat="1" applyFont="1" applyFill="1" applyBorder="1"/>
    <x:xf numFmtId="201" fontId="6" fillId="0" borderId="0" xfId="0" applyNumberFormat="1" applyFont="1" applyFill="1" applyBorder="1"/>
    <x:xf numFmtId="201" fontId="5" fillId="0" borderId="0" xfId="0" applyNumberFormat="1" applyFont="1" applyFill="1" applyBorder="1"/>
    <x:xf numFmtId="201" fontId="6" fillId="3" borderId="0" xfId="0" applyNumberFormat="1" applyFont="1" applyFill="1" applyBorder="1"/>
    <x:xf numFmtId="202" fontId="6" fillId="0" borderId="0" xfId="0" applyNumberFormat="1" applyFont="1" applyFill="1" applyBorder="1"/>
    <x:xf numFmtId="202" fontId="5" fillId="0" borderId="0" xfId="0" applyNumberFormat="1" applyFont="1" applyFill="1" applyBorder="1"/>
    <x:xf numFmtId="202" fontId="6" fillId="3" borderId="0" xfId="0" applyNumberFormat="1" applyFont="1" applyFill="1" applyBorder="1"/>
    <x:xf numFmtId="203" fontId="6" fillId="0" borderId="0" xfId="0" applyNumberFormat="1" applyFont="1" applyFill="1" applyBorder="1"/>
    <x:xf numFmtId="203" fontId="5" fillId="0" borderId="0" xfId="0" applyNumberFormat="1" applyFont="1" applyFill="1" applyBorder="1"/>
    <x:xf numFmtId="203" fontId="6" fillId="3" borderId="0" xfId="0" applyNumberFormat="1" applyFont="1" applyFill="1" applyBorder="1"/>
    <x:xf numFmtId="204" fontId="6" fillId="0" borderId="0" xfId="0" applyNumberFormat="1" applyFont="1" applyFill="1" applyBorder="1"/>
    <x:xf numFmtId="204" fontId="5" fillId="0" borderId="0" xfId="0" applyNumberFormat="1" applyFont="1" applyFill="1" applyBorder="1"/>
    <x:xf numFmtId="204" fontId="6" fillId="3" borderId="0" xfId="0" applyNumberFormat="1" applyFont="1" applyFill="1" applyBorder="1"/>
    <x:xf numFmtId="200" fontId="1" fillId="3" borderId="0" xfId="0" applyNumberFormat="1" applyFont="1" applyFill="1" applyBorder="1"/>
    <x:xf numFmtId="200" fontId="3" fillId="3" borderId="0" xfId="0" applyNumberFormat="1" applyFont="1" applyFill="1" applyBorder="1"/>
    <x:xf numFmtId="205" fontId="5" fillId="0" borderId="0" xfId="0" applyNumberFormat="1" applyFont="1" applyFill="1" applyBorder="1"/>
    <x:xf numFmtId="206" fontId="5" fillId="0" borderId="0" xfId="0" applyNumberFormat="1" applyFont="1" applyFill="1" applyBorder="1"/>
    <x:xf numFmtId="207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200" fontId="8" fillId="3" borderId="0" xfId="0" applyNumberFormat="1" applyFont="1" applyFill="1" applyBorder="1"/>
    <x:xf numFmtId="200" fontId="8" fillId="3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horizontal="center"/>
    </x:xf>
    <x:xf numFmtId="208" fontId="5" fillId="0" borderId="0" xfId="0" applyNumberFormat="1" applyFont="1" applyFill="1" applyBorder="1" applyAlignment="1">
      <x:alignment horizontal="center"/>
    </x:xf>
    <x:xf numFmtId="209" fontId="5" fillId="0" borderId="0" xfId="0" applyNumberFormat="1" applyFont="1" applyFill="1" applyBorder="1"/>
    <x:xf numFmtId="210" fontId="5" fillId="0" borderId="0" xfId="0" applyNumberFormat="1" applyFont="1" applyFill="1" applyBorder="1"/>
    <x:xf numFmtId="209" fontId="6" fillId="0" borderId="0" xfId="0" applyNumberFormat="1" applyFont="1" applyFill="1" applyBorder="1"/>
    <x:xf numFmtId="211" fontId="5" fillId="0" borderId="0" xfId="0" applyNumberFormat="1" applyFont="1" applyFill="1" applyBorder="1"/>
    <x:xf numFmtId="212" fontId="5" fillId="0" borderId="0" xfId="0" applyNumberFormat="1" applyFont="1" applyFill="1" applyBorder="1"/>
    <x:xf numFmtId="213" fontId="5" fillId="0" borderId="0" xfId="0" applyNumberFormat="1" applyFont="1" applyFill="1" applyBorder="1"/>
    <x:xf numFmtId="214" fontId="5" fillId="0" borderId="0" xfId="0" applyNumberFormat="1" applyFont="1" applyFill="1" applyBorder="1"/>
    <x:xf numFmtId="200" fontId="9" fillId="0" borderId="0" xfId="0" applyNumberFormat="1" applyFont="1" applyFill="1" applyBorder="1"/>
    <x:xf numFmtId="204" fontId="9" fillId="0" borderId="0" xfId="0" applyNumberFormat="1" applyFont="1" applyFill="1" applyBorder="1"/>
    <x:xf numFmtId="202" fontId="9" fillId="0" borderId="0" xfId="0" applyNumberFormat="1" applyFont="1" applyFill="1" applyBorder="1"/>
    <x:xf numFmtId="200" fontId="6" fillId="3" borderId="0" xfId="0" applyNumberFormat="1" applyFont="1" applyFill="1" applyBorder="1"/>
    <x:xf numFmtId="200" fontId="9" fillId="3" borderId="0" xfId="0" applyNumberFormat="1" applyFont="1" applyFill="1" applyBorder="1"/>
    <x:xf numFmtId="204" fontId="9" fillId="3" borderId="0" xfId="0" applyNumberFormat="1" applyFont="1" applyFill="1" applyBorder="1"/>
    <x:xf numFmtId="206" fontId="6" fillId="0" borderId="0" xfId="0" applyNumberFormat="1" applyFont="1" applyFill="1" applyBorder="1"/>
    <x:xf numFmtId="206" fontId="9" fillId="0" borderId="0" xfId="0" applyNumberFormat="1" applyFont="1" applyFill="1" applyBorder="1"/>
    <x:xf numFmtId="201" fontId="9" fillId="3" borderId="0" xfId="0" applyNumberFormat="1" applyFont="1" applyFill="1" applyBorder="1"/>
    <x:xf numFmtId="203" fontId="9" fillId="3" borderId="0" xfId="0" applyNumberFormat="1" applyFont="1" applyFill="1" applyBorder="1"/>
    <x:xf numFmtId="0" fontId="9" fillId="0" borderId="0" xfId="0" applyNumberFormat="1" applyFont="1" applyFill="1" applyBorder="1"/>
    <x:xf numFmtId="210" fontId="1" fillId="0" borderId="0" xfId="0" applyNumberFormat="1" applyFont="1" applyFill="1" applyBorder="1"/>
    <x:xf numFmtId="210" fontId="1" fillId="3" borderId="0" xfId="0" applyNumberFormat="1" applyFont="1" applyFill="1" applyBorder="1"/>
    <x:xf numFmtId="207" fontId="9" fillId="0" borderId="0" xfId="0" applyNumberFormat="1" applyFont="1" applyFill="1" applyBorder="1"/>
    <x:xf numFmtId="205" fontId="9" fillId="0" borderId="0" xfId="0" applyNumberFormat="1" applyFont="1" applyFill="1" applyBorder="1"/>
    <x:xf numFmtId="215" fontId="5" fillId="0" borderId="0" xfId="0" applyNumberFormat="1" applyFont="1" applyFill="1" applyBorder="1"/>
    <x:xf numFmtId="201" fontId="9" fillId="0" borderId="0" xfId="0" applyNumberFormat="1" applyFont="1" applyFill="1" applyBorder="1"/>
    <x:xf numFmtId="206" fontId="6" fillId="3" borderId="0" xfId="0" applyNumberFormat="1" applyFont="1" applyFill="1" applyBorder="1"/>
    <x:xf numFmtId="205" fontId="6" fillId="3" borderId="0" xfId="0" applyNumberFormat="1" applyFont="1" applyFill="1" applyBorder="1"/>
    <x:xf numFmtId="205" fontId="9" fillId="3" borderId="0" xfId="0" applyNumberFormat="1" applyFont="1" applyFill="1" applyBorder="1"/>
    <x:xf numFmtId="205" fontId="1" fillId="0" borderId="0" xfId="0" applyNumberFormat="1" applyFont="1" applyFill="1" applyBorder="1"/>
    <x:xf numFmtId="202" fontId="1" fillId="0" borderId="0" xfId="0" applyNumberFormat="1" applyFont="1" applyFill="1" applyBorder="1"/>
    <x:xf numFmtId="204" fontId="1" fillId="0" borderId="0" xfId="0" applyNumberFormat="1" applyFont="1" applyFill="1" applyBorder="1"/>
    <x:xf numFmtId="209" fontId="1" fillId="0" borderId="0" xfId="0" applyNumberFormat="1" applyFont="1" applyFill="1" applyBorder="1"/>
    <x:xf numFmtId="0" fontId="10" fillId="0" borderId="0" xfId="0" applyNumberFormat="1" applyFont="1" applyFill="1" applyBorder="1"/>
    <x:xf numFmtId="204" fontId="10" fillId="0" borderId="0" xfId="0" applyNumberFormat="1" applyFont="1" applyFill="1" applyBorder="1"/>
    <x:xf numFmtId="204" fontId="1" fillId="3" borderId="0" xfId="0" applyNumberFormat="1" applyFont="1" applyFill="1" applyBorder="1"/>
    <x:xf numFmtId="216" fontId="6" fillId="0" borderId="0" xfId="0" applyNumberFormat="1" applyFont="1" applyFill="1" applyBorder="1"/>
    <x:xf numFmtId="203" fontId="9" fillId="0" borderId="0" xfId="0" applyNumberFormat="1" applyFont="1" applyFill="1" applyBorder="1"/>
    <x:xf numFmtId="216" fontId="6" fillId="3" borderId="0" xfId="0" applyNumberFormat="1" applyFont="1" applyFill="1" applyBorder="1"/>
    <x:xf numFmtId="202" fontId="9" fillId="3" borderId="0" xfId="0" applyNumberFormat="1" applyFont="1" applyFill="1" applyBorder="1"/>
    <x:xf numFmtId="0" fontId="11" fillId="0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5">
    <x:dxf>
      <x:font>
        <x:color rgb="FF9D3C30"/>
      </x:font>
      <x:fill>
        <x:patternFill patternType="solid">
          <x:bgColor rgb="FFFDE5DD"/>
        </x:patternFill>
      </x:fill>
    </x:dxf>
    <x:dxf>
      <x:font>
        <x:color rgb="FF9D3C30"/>
      </x:font>
      <x:fill>
        <x:patternFill patternType="solid">
          <x:bgColor rgb="FFFDE5DD"/>
        </x:patternFill>
      </x:fill>
    </x:dxf>
    <x:dxf>
      <x:font>
        <x:color rgb="FF9D3C30"/>
      </x:font>
      <x:fill>
        <x:patternFill patternType="solid">
          <x:bgColor rgb="FFFDE5DD"/>
        </x:patternFill>
      </x:fill>
    </x:dxf>
    <x:dxf>
      <x:font>
        <x:color rgb="FF9D3C30"/>
      </x:font>
      <x:fill>
        <x:patternFill patternType="solid">
          <x:bgColor rgb="FFFDE5DD"/>
        </x:patternFill>
      </x:fill>
    </x:dxf>
    <x:dxf>
      <x:font>
        <x:color rgb="FF9D3C30"/>
      </x:font>
      <x:fill>
        <x:patternFill patternType="solid">
          <x:bgColor rgb="FFFDE5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5c935c12e24f90" /><Relationship Type="http://schemas.openxmlformats.org/officeDocument/2006/relationships/theme" Target="/xl/theme/theme1.xml" Id="R7579f681baef4965" /><Relationship Type="http://schemas.openxmlformats.org/officeDocument/2006/relationships/sharedStrings" Target="/xl/sharedStrings.xml" Id="Rc56636a6a5cd4e43" /><Relationship Type="http://schemas.openxmlformats.org/officeDocument/2006/relationships/worksheet" Target="/xl/worksheets/sheet1.xml" Id="R320fa7b1a97243dc" /><Relationship Type="http://schemas.openxmlformats.org/officeDocument/2006/relationships/worksheet" Target="/xl/worksheets/sheet2.xml" Id="R53dea2a956d844bd" /><Relationship Type="http://schemas.openxmlformats.org/officeDocument/2006/relationships/worksheet" Target="/xl/worksheets/sheet3.xml" Id="R18150802c97b4119" /><Relationship Type="http://schemas.openxmlformats.org/officeDocument/2006/relationships/worksheet" Target="/xl/worksheets/sheet4.xml" Id="R8dc88e9cf94d4ccc" /><Relationship Type="http://schemas.openxmlformats.org/officeDocument/2006/relationships/worksheet" Target="/xl/worksheets/sheet5.xml" Id="R3cc4e01cdc9549b5" /><Relationship Type="http://schemas.openxmlformats.org/officeDocument/2006/relationships/worksheet" Target="/xl/worksheets/sheet6.xml" Id="Ra219691ecbea4f1f" /><Relationship Type="http://schemas.openxmlformats.org/officeDocument/2006/relationships/worksheet" Target="/xl/worksheets/sheet7.xml" Id="R269f99457a4f4ff4" /><Relationship Type="http://schemas.openxmlformats.org/officeDocument/2006/relationships/worksheet" Target="/xl/worksheets/sheet8.xml" Id="Ra490c82f0bd64045" /><Relationship Type="http://schemas.openxmlformats.org/officeDocument/2006/relationships/worksheet" Target="/xl/worksheets/sheet9.xml" Id="Rc7784632c8354bfd" /><Relationship Type="http://schemas.openxmlformats.org/officeDocument/2006/relationships/worksheet" Target="/xl/worksheets/sheet10.xml" Id="Rb38ca349d8ec4165" /><Relationship Type="http://schemas.openxmlformats.org/officeDocument/2006/relationships/worksheet" Target="/xl/worksheets/sheet11.xml" Id="R468b00bdaafe49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Investor model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Active case</x:v>
      </x:c>
      <x:c r="D3" s="59" t="str">
        <x:f>'Assumptions'!D3</x:f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 t="str">
        <x:v>Optional revenue case</x:v>
      </x:c>
      <x:c r="D4" s="59" t="str">
        <x:f>'Revenue streams'!D3</x:f>
        <x:v>Subscriptions</x:v>
      </x:c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Ending paying households</x:v>
      </x:c>
      <x:c r="D7" s="6" t="n">
        <x:f>'Operating model'!D10</x:f>
        <x:v>240</x:v>
      </x:c>
      <x:c r="E7" s="6" t="n">
        <x:f>'Operating model'!E10</x:f>
        <x:v>1750</x:v>
      </x:c>
      <x:c r="F7" s="6" t="n">
        <x:f>'Operating model'!F10</x:f>
        <x:v>8160</x:v>
      </x:c>
      <x:c r="G7" s="6" t="n">
        <x:f>'Operating model'!G10</x:f>
        <x:v>26600</x:v>
      </x:c>
      <x:c r="H7" s="6" t="n">
        <x:f>'Operating model'!H10</x:f>
        <x:v>72900</x:v>
      </x:c>
      <x:c r="I7" s="6" t="n">
        <x:f>'Operating model'!I10</x:f>
        <x:v>178850</x:v>
      </x:c>
      <x:c r="J7" s="6" t="n">
        <x:f>'Operating model'!J10</x:f>
        <x:v>380000</x:v>
      </x:c>
      <x:c r="K7" s="1"/>
      <x:c r="L7" s="1"/>
      <x:c r="M7" s="1"/>
    </x:row>
    <x:row r="8" ht="22" customHeight="1">
      <x:c r="A8" s="1"/>
      <x:c r="B8" s="1"/>
      <x:c r="C8" s="1" t="str">
        <x:v>Ending providers</x:v>
      </x:c>
      <x:c r="D8" s="6" t="n">
        <x:f>'Operating model'!D18</x:f>
        <x:v>6</x:v>
      </x:c>
      <x:c r="E8" s="6" t="n">
        <x:f>'Operating model'!E18</x:f>
        <x:v>44</x:v>
      </x:c>
      <x:c r="F8" s="6" t="n">
        <x:f>'Operating model'!F18</x:f>
        <x:v>204</x:v>
      </x:c>
      <x:c r="G8" s="6" t="n">
        <x:f>'Operating model'!G18</x:f>
        <x:v>665</x:v>
      </x:c>
      <x:c r="H8" s="6" t="n">
        <x:f>'Operating model'!H18</x:f>
        <x:v>1823</x:v>
      </x:c>
      <x:c r="I8" s="6" t="n">
        <x:f>'Operating model'!I18</x:f>
        <x:v>4472</x:v>
      </x:c>
      <x:c r="J8" s="6" t="n">
        <x:f>'Operating model'!J18</x:f>
        <x:v>9500</x:v>
      </x:c>
      <x:c r="K8" s="1"/>
      <x:c r="L8" s="1"/>
      <x:c r="M8" s="1"/>
    </x:row>
    <x:row r="9" ht="22" customHeight="1">
      <x:c r="A9" s="1"/>
      <x:c r="B9" s="1"/>
      <x:c r="C9" s="1" t="str">
        <x:v>Completed service bookings</x:v>
      </x:c>
      <x:c r="D9" s="6" t="n">
        <x:f>'Operating model'!D13</x:f>
        <x:v>2116.638</x:v>
      </x:c>
      <x:c r="E9" s="6" t="n">
        <x:f>'Operating model'!E13</x:f>
        <x:v>16981.06095</x:v>
      </x:c>
      <x:c r="F9" s="6" t="n">
        <x:f>'Operating model'!F13</x:f>
        <x:v>84148.480125</x:v>
      </x:c>
      <x:c r="G9" s="6" t="n">
        <x:f>'Operating model'!G13</x:f>
        <x:v>293968.54872</x:v>
      </x:c>
      <x:c r="H9" s="6" t="n">
        <x:f>'Operating model'!H13</x:f>
        <x:v>843085.2330000001</x:v>
      </x:c>
      <x:c r="I9" s="6" t="n">
        <x:f>'Operating model'!I13</x:f>
        <x:v>2129700.625875</x:v>
      </x:c>
      <x:c r="J9" s="6" t="n">
        <x:f>'Operating model'!J13</x:f>
        <x:v>4713840.035999999</x:v>
      </x:c>
      <x:c r="K9" s="1"/>
      <x:c r="L9" s="1"/>
      <x:c r="M9" s="1"/>
    </x:row>
    <x:row r="10" ht="22" customHeight="1">
      <x:c r="A10" s="1"/>
      <x:c r="B10" s="1"/>
      <x:c r="C10" s="1" t="str">
        <x:v>Weighted average service price</x:v>
      </x:c>
      <x:c r="D10" s="69" t="n">
        <x:f>'Operating model'!D15</x:f>
        <x:v>91.81774115365975</x:v>
      </x:c>
      <x:c r="E10" s="69" t="n">
        <x:f>'Operating model'!E15</x:f>
        <x:v>101.2572927436171</x:v>
      </x:c>
      <x:c r="F10" s="69" t="n">
        <x:f>'Operating model'!F15</x:f>
        <x:v>106.04699530217539</x:v>
      </x:c>
      <x:c r="G10" s="69" t="n">
        <x:f>'Operating model'!G15</x:f>
        <x:v>112.45127101731372</x:v>
      </x:c>
      <x:c r="H10" s="69" t="n">
        <x:f>'Operating model'!H15</x:f>
        <x:v>120.52535098896439</x:v>
      </x:c>
      <x:c r="I10" s="69" t="n">
        <x:f>'Operating model'!I15</x:f>
        <x:v>129.28416520358198</x:v>
      </x:c>
      <x:c r="J10" s="69" t="n">
        <x:f>'Operating model'!J15</x:f>
        <x:v>138.69253442396092</x:v>
      </x:c>
      <x:c r="K10" s="1"/>
      <x:c r="L10" s="1"/>
      <x:c r="M10" s="1"/>
    </x:row>
    <x:row r="11" ht="22" customHeight="1">
      <x:c r="A11" s="1"/>
      <x:c r="B11" s="1"/>
      <x:c r="C11" s="1" t="str">
        <x:v>Gross booking value / paid directly to providers</x:v>
      </x:c>
      <x:c r="D11" s="71" t="n">
        <x:f>'Operating model'!D14</x:f>
        <x:v>194344.92000000007</x:v>
      </x:c>
      <x:c r="E11" s="71" t="n">
        <x:f>'Operating model'!E14</x:f>
        <x:v>1719456.2597113545</x:v>
      </x:c>
      <x:c r="F11" s="71" t="n">
        <x:f>'Operating model'!F14</x:f>
        <x:v>8923693.476501074</x:v>
      </x:c>
      <x:c r="G11" s="71" t="n">
        <x:f>'Operating model'!G14</x:f>
        <x:v>33057136.942679115</x:v>
      </x:c>
      <x:c r="H11" s="71" t="n">
        <x:f>'Operating model'!H14</x:f>
        <x:v>101613143.62093784</x:v>
      </x:c>
      <x:c r="I11" s="71" t="n">
        <x:f>'Operating model'!I14</x:f>
        <x:v>275336567.54979545</x:v>
      </x:c>
      <x:c r="J11" s="71" t="n">
        <x:f>'Operating model'!J14</x:f>
        <x:v>653774421.4619751</x:v>
      </x:c>
      <x:c r="K11" s="1"/>
      <x:c r="L11" s="1"/>
      <x:c r="M11" s="1"/>
    </x:row>
    <x:row r="12" ht="22" customHeight="1">
      <x:c r="A12" s="1"/>
      <x:c r="B12" s="1"/>
      <x:c r="C12" s="1" t="str">
        <x:v>Finder-fee revenue</x:v>
      </x:c>
      <x:c r="D12" s="71" t="n">
        <x:f>'Operating model'!D24</x:f>
        <x:v>21352.5</x:v>
      </x:c>
      <x:c r="E12" s="71" t="n">
        <x:f>'Operating model'!E24</x:f>
        <x:v>140807.875</x:v>
      </x:c>
      <x:c r="F12" s="71" t="n">
        <x:f>'Operating model'!F24</x:f>
        <x:v>609632.125</x:v>
      </x:c>
      <x:c r="G12" s="71" t="n">
        <x:f>'Operating model'!G24</x:f>
        <x:v>1801603.5000000002</x:v>
      </x:c>
      <x:c r="H12" s="71" t="n">
        <x:f>'Operating model'!H24</x:f>
        <x:v>4595555.3125</x:v>
      </x:c>
      <x:c r="I12" s="71" t="n">
        <x:f>'Operating model'!I24</x:f>
        <x:v>10731688.9375</x:v>
      </x:c>
      <x:c r="J12" s="71" t="n">
        <x:f>'Operating model'!J24</x:f>
        <x:v>21098934.5</x:v>
      </x:c>
      <x:c r="K12" s="1"/>
      <x:c r="L12" s="1"/>
      <x:c r="M12" s="1"/>
    </x:row>
    <x:row r="13" ht="22" customHeight="1">
      <x:c r="A13" s="1"/>
      <x:c r="B13" s="1"/>
      <x:c r="C13" s="1" t="str">
        <x:v>Recurring service-fee revenue</x:v>
      </x:c>
      <x:c r="D13" s="71" t="n">
        <x:f>'Operating model'!D25</x:f>
        <x:v>0</x:v>
      </x:c>
      <x:c r="E13" s="71" t="n">
        <x:f>'Operating model'!E25</x:f>
        <x:v>0</x:v>
      </x:c>
      <x:c r="F13" s="71" t="n">
        <x:f>'Operating model'!F25</x:f>
        <x:v>0</x:v>
      </x:c>
      <x:c r="G13" s="71" t="n">
        <x:f>'Operating model'!G25</x:f>
        <x:v>0</x:v>
      </x:c>
      <x:c r="H13" s="71" t="n">
        <x:f>'Operating model'!H25</x:f>
        <x:v>0</x:v>
      </x:c>
      <x:c r="I13" s="71" t="n">
        <x:f>'Operating model'!I25</x:f>
        <x:v>0</x:v>
      </x:c>
      <x:c r="J13" s="71" t="n">
        <x:f>'Operating model'!J25</x:f>
        <x:v>0</x:v>
      </x:c>
      <x:c r="K13" s="1"/>
      <x:c r="L13" s="1"/>
      <x:c r="M13" s="1"/>
    </x:row>
    <x:row r="14" ht="22" customHeight="1">
      <x:c r="A14" s="1"/>
      <x:c r="B14" s="1"/>
      <x:c r="C14" s="4" t="str">
        <x:v>Total net revenue</x:v>
      </x:c>
      <x:c r="D14" s="75" t="n">
        <x:f>'Operating model'!D26</x:f>
        <x:v>21352.5</x:v>
      </x:c>
      <x:c r="E14" s="75" t="n">
        <x:f>'Operating model'!E26</x:f>
        <x:v>143080.00696</x:v>
      </x:c>
      <x:c r="F14" s="75" t="n">
        <x:f>'Operating model'!F26</x:f>
        <x:v>629191.89796</x:v>
      </x:c>
      <x:c r="G14" s="75" t="n">
        <x:f>'Operating model'!G26</x:f>
        <x:v>1905967.1966400002</x:v>
      </x:c>
      <x:c r="H14" s="75" t="n">
        <x:f>'Operating model'!H26</x:f>
        <x:v>4982718.3412</x:v>
      </x:c>
      <x:c r="I14" s="75" t="n">
        <x:f>'Operating model'!I26</x:f>
        <x:v>11917105.72222</x:v>
      </x:c>
      <x:c r="J14" s="75" t="n">
        <x:f>'Operating model'!J26</x:f>
        <x:v>24180450.106399998</x:v>
      </x:c>
      <x:c r="K14" s="1"/>
      <x:c r="L14" s="1"/>
      <x:c r="M14" s="1"/>
    </x:row>
    <x:row r="15" ht="22" customHeight="1">
      <x:c r="A15" s="1"/>
      <x:c r="B15" s="1"/>
      <x:c r="C15" s="1" t="str">
        <x:v>Provider subscriptions / included above</x:v>
      </x:c>
      <x:c r="D15" s="50" t="n">
        <x:f>SUM('Operating model'!D87:D88)</x:f>
        <x:v>0</x:v>
      </x:c>
      <x:c r="E15" s="50" t="n">
        <x:f>SUM('Operating model'!E87:E88)</x:f>
        <x:v>2272.1319600000006</x:v>
      </x:c>
      <x:c r="F15" s="50" t="n">
        <x:f>SUM('Operating model'!F87:F88)</x:f>
        <x:v>19559.77296</x:v>
      </x:c>
      <x:c r="G15" s="50" t="n">
        <x:f>SUM('Operating model'!G87:G88)</x:f>
        <x:v>104363.69664000002</x:v>
      </x:c>
      <x:c r="H15" s="50" t="n">
        <x:f>SUM('Operating model'!H87:H88)</x:f>
        <x:v>387163.0287000001</x:v>
      </x:c>
      <x:c r="I15" s="50" t="n">
        <x:f>SUM('Operating model'!I87:I88)</x:f>
        <x:v>1185416.7847199999</x:v>
      </x:c>
      <x:c r="J15" s="50" t="n">
        <x:f>SUM('Operating model'!J87:J88)</x:f>
        <x:v>3081515.6064</x:v>
      </x:c>
      <x:c r="K15" s="1"/>
      <x:c r="L15" s="1"/>
      <x:c r="M15" s="1"/>
    </x:row>
    <x:row r="16" ht="22" customHeight="1">
      <x:c r="A16" s="1"/>
      <x:c r="B16" s="1"/>
      <x:c r="C16" s="4" t="str">
        <x:v>Gross profit</x:v>
      </x:c>
      <x:c r="D16" s="75" t="n">
        <x:f>'Operating model'!D40</x:f>
        <x:v>20823.3405</x:v>
      </x:c>
      <x:c r="E16" s="75" t="n">
        <x:f>'Operating model'!E40</x:f>
        <x:v>138439.2942505</x:v>
      </x:c>
      <x:c r="F16" s="75" t="n">
        <x:f>'Operating model'!F40</x:f>
        <x:v>604733.54125675</x:v>
      </x:c>
      <x:c r="G16" s="75" t="n">
        <x:f>'Operating model'!G40</x:f>
        <x:v>1814158.7694120002</x:v>
      </x:c>
      <x:c r="H16" s="75" t="n">
        <x:f>'Operating model'!H40</x:f>
        <x:v>4704003.42211</x:v>
      </x:c>
      <x:c r="I16" s="75" t="n">
        <x:f>'Operating model'!I40</x:f>
        <x:v>11176529.55224725</x:v>
      </x:c>
      <x:c r="J16" s="75" t="n">
        <x:f>'Operating model'!J40</x:f>
        <x:v>22459428.82892</x:v>
      </x:c>
      <x:c r="K16" s="1"/>
      <x:c r="L16" s="1"/>
      <x:c r="M16" s="1"/>
    </x:row>
    <x:row r="17" ht="22" customHeight="1">
      <x:c r="A17" s="1"/>
      <x:c r="B17" s="1"/>
      <x:c r="C17" s="1" t="str">
        <x:v>Gross margin</x:v>
      </x:c>
      <x:c r="D17" s="70" t="n">
        <x:f>'Operating model'!D41</x:f>
        <x:v>0.9752179135932559</x:v>
      </x:c>
      <x:c r="E17" s="70" t="n">
        <x:f>'Operating model'!E41</x:f>
        <x:v>0.9675656102616953</x:v>
      </x:c>
      <x:c r="F17" s="70" t="n">
        <x:f>'Operating model'!F41</x:f>
        <x:v>0.9611273495692647</x:v>
      </x:c>
      <x:c r="G17" s="70" t="n">
        <x:f>'Operating model'!G41</x:f>
        <x:v>0.9518310559647366</x:v>
      </x:c>
      <x:c r="H17" s="70" t="n">
        <x:f>'Operating model'!H41</x:f>
        <x:v>0.9440636817085518</x:v>
      </x:c>
      <x:c r="I17" s="70" t="n">
        <x:f>'Operating model'!I41</x:f>
        <x:v>0.9378560375954448</x:v>
      </x:c>
      <x:c r="J17" s="70" t="n">
        <x:f>'Operating model'!J41</x:f>
        <x:v>0.9288259205305494</x:v>
      </x:c>
      <x:c r="K17" s="1"/>
      <x:c r="L17" s="1"/>
      <x:c r="M17" s="1"/>
    </x:row>
    <x:row r="18" ht="22" customHeight="1">
      <x:c r="A18" s="1"/>
      <x:c r="B18" s="1"/>
      <x:c r="C18" s="1" t="str">
        <x:v>Provider product cost of revenue</x:v>
      </x:c>
      <x:c r="D18" s="50" t="n">
        <x:f>'Operating model'!D89</x:f>
        <x:v>0</x:v>
      </x:c>
      <x:c r="E18" s="50" t="n">
        <x:f>'Operating model'!E89</x:f>
        <x:v>395.44747200000006</x:v>
      </x:c>
      <x:c r="F18" s="50" t="n">
        <x:f>'Operating model'!F89</x:f>
        <x:v>3421.236672</x:v>
      </x:c>
      <x:c r="G18" s="50" t="n">
        <x:f>'Operating model'!G89</x:f>
        <x:v>18316.290048000003</x:v>
      </x:c>
      <x:c r="H18" s="50" t="n">
        <x:f>'Operating model'!H89</x:f>
        <x:v>67943.61084</x:v>
      </x:c>
      <x:c r="I18" s="50" t="n">
        <x:f>'Operating model'!I89</x:f>
        <x:v>208151.013504</x:v>
      </x:c>
      <x:c r="J18" s="50" t="n">
        <x:f>'Operating model'!J89</x:f>
        <x:v>542561.2684800001</x:v>
      </x:c>
      <x:c r="K18" s="1"/>
      <x:c r="L18" s="1"/>
      <x:c r="M18" s="1"/>
    </x:row>
    <x:row r="19" ht="22" customHeight="1">
      <x:c r="A19" s="1"/>
      <x:c r="B19" s="1"/>
      <x:c r="C19" s="1" t="str">
        <x:v>Customer acquisition spend</x:v>
      </x:c>
      <x:c r="D19" s="71" t="n">
        <x:f>'Operating model'!D43</x:f>
        <x:v>13200</x:v>
      </x:c>
      <x:c r="E19" s="71" t="n">
        <x:f>'Operating model'!E43</x:f>
        <x:v>79100</x:v>
      </x:c>
      <x:c r="F19" s="71" t="n">
        <x:f>'Operating model'!F43</x:f>
        <x:v>308137.5</x:v>
      </x:c>
      <x:c r="G19" s="71" t="n">
        <x:f>'Operating model'!G43</x:f>
        <x:v>809408</x:v>
      </x:c>
      <x:c r="H19" s="71" t="n">
        <x:f>'Operating model'!H43</x:f>
        <x:v>1806700</x:v>
      </x:c>
      <x:c r="I19" s="71" t="n">
        <x:f>'Operating model'!I43</x:f>
        <x:v>3856960</x:v>
      </x:c>
      <x:c r="J19" s="71" t="n">
        <x:f>'Operating model'!J43</x:f>
        <x:v>7107600</x:v>
      </x:c>
      <x:c r="K19" s="1"/>
      <x:c r="L19" s="1"/>
      <x:c r="M19" s="1"/>
    </x:row>
    <x:row r="20" ht="22" customHeight="1">
      <x:c r="A20" s="1"/>
      <x:c r="B20" s="1"/>
      <x:c r="C20" s="1" t="str">
        <x:v>Provider onboarding spend</x:v>
      </x:c>
      <x:c r="D20" s="71" t="n">
        <x:f>'Operating model'!D44</x:f>
        <x:v>450</x:v>
      </x:c>
      <x:c r="E20" s="71" t="n">
        <x:f>'Operating model'!E44</x:f>
        <x:v>2917.5</x:v>
      </x:c>
      <x:c r="F20" s="71" t="n">
        <x:f>'Operating model'!F44</x:f>
        <x:v>12495</x:v>
      </x:c>
      <x:c r="G20" s="71" t="n">
        <x:f>'Operating model'!G44</x:f>
        <x:v>36870</x:v>
      </x:c>
      <x:c r="H20" s="71" t="n">
        <x:f>'Operating model'!H44</x:f>
        <x:v>94331.25</x:v>
      </x:c>
      <x:c r="I20" s="71" t="n">
        <x:f>'Operating model'!I44</x:f>
        <x:v>219183.75</x:v>
      </x:c>
      <x:c r="J20" s="71" t="n">
        <x:f>'Operating model'!J44</x:f>
        <x:v>427410</x:v>
      </x:c>
      <x:c r="K20" s="1"/>
      <x:c r="L20" s="1"/>
      <x:c r="M20" s="1"/>
    </x:row>
    <x:row r="21" ht="22" customHeight="1">
      <x:c r="A21" s="1"/>
      <x:c r="B21" s="1"/>
      <x:c r="C21" s="1" t="str">
        <x:v>Payroll expense</x:v>
      </x:c>
      <x:c r="D21" s="71" t="n">
        <x:f>'Operating model'!D49</x:f>
        <x:v>300000</x:v>
      </x:c>
      <x:c r="E21" s="71" t="n">
        <x:f>'Operating model'!E49</x:f>
        <x:v>508333.3333333334</x:v>
      </x:c>
      <x:c r="F21" s="71" t="n">
        <x:f>'Operating model'!F49</x:f>
        <x:v>826666.6666666666</x:v>
      </x:c>
      <x:c r="G21" s="71" t="n">
        <x:f>'Operating model'!G49</x:f>
        <x:v>1575000</x:v>
      </x:c>
      <x:c r="H21" s="71" t="n">
        <x:f>'Operating model'!H49</x:f>
        <x:v>2666666.666666667</x:v>
      </x:c>
      <x:c r="I21" s="71" t="n">
        <x:f>'Operating model'!I49</x:f>
        <x:v>4333333.333333333</x:v>
      </x:c>
      <x:c r="J21" s="71" t="n">
        <x:f>'Operating model'!J49</x:f>
        <x:v>6600000</x:v>
      </x:c>
      <x:c r="K21" s="1"/>
      <x:c r="L21" s="1"/>
      <x:c r="M21" s="1"/>
    </x:row>
    <x:row r="22" ht="22" customHeight="1">
      <x:c r="A22" s="1"/>
      <x:c r="B22" s="1"/>
      <x:c r="C22" s="1" t="str">
        <x:v>Corporate and local operating costs</x:v>
      </x:c>
      <x:c r="D22" s="50" t="n">
        <x:f>'Operating model'!D50+'Operating model'!D91</x:f>
        <x:v>69000</x:v>
      </x:c>
      <x:c r="E22" s="50" t="n">
        <x:f>'Operating model'!E50+'Operating model'!E91</x:f>
        <x:v>127000</x:v>
      </x:c>
      <x:c r="F22" s="50" t="n">
        <x:f>'Operating model'!F50+'Operating model'!F91</x:f>
        <x:v>325000</x:v>
      </x:c>
      <x:c r="G22" s="50" t="n">
        <x:f>'Operating model'!G50+'Operating model'!G91</x:f>
        <x:v>685000</x:v>
      </x:c>
      <x:c r="H22" s="50" t="n">
        <x:f>'Operating model'!H50+'Operating model'!H91</x:f>
        <x:v>1455000</x:v>
      </x:c>
      <x:c r="I22" s="50" t="n">
        <x:f>'Operating model'!I50+'Operating model'!I91</x:f>
        <x:v>2945000</x:v>
      </x:c>
      <x:c r="J22" s="50" t="n">
        <x:f>'Operating model'!J50+'Operating model'!J91</x:f>
        <x:v>4800000</x:v>
      </x:c>
      <x:c r="K22" s="1"/>
      <x:c r="L22" s="1"/>
      <x:c r="M22" s="1"/>
    </x:row>
    <x:row r="23" ht="22" customHeight="1">
      <x:c r="A23" s="1"/>
      <x:c r="B23" s="1"/>
      <x:c r="C23" s="1" t="str">
        <x:v>Incremental builds / product operations</x:v>
      </x:c>
      <x:c r="D23" s="50" t="n">
        <x:f>'Operating model'!D46+'Operating model'!D90</x:f>
        <x:v>60000</x:v>
      </x:c>
      <x:c r="E23" s="50" t="n">
        <x:f>'Operating model'!E46+'Operating model'!E90</x:f>
        <x:v>120000</x:v>
      </x:c>
      <x:c r="F23" s="50" t="n">
        <x:f>'Operating model'!F46+'Operating model'!F90</x:f>
        <x:v>72000</x:v>
      </x:c>
      <x:c r="G23" s="50" t="n">
        <x:f>'Operating model'!G46+'Operating model'!G90</x:f>
        <x:v>86400</x:v>
      </x:c>
      <x:c r="H23" s="50" t="n">
        <x:f>'Operating model'!H46+'Operating model'!H90</x:f>
        <x:v>103679.99999999999</x:v>
      </x:c>
      <x:c r="I23" s="50" t="n">
        <x:f>'Operating model'!I46+'Operating model'!I90</x:f>
        <x:v>124416</x:v>
      </x:c>
      <x:c r="J23" s="50" t="n">
        <x:f>'Operating model'!J46+'Operating model'!J90</x:f>
        <x:v>149299.19999999995</x:v>
      </x:c>
      <x:c r="K23" s="1"/>
      <x:c r="L23" s="1"/>
      <x:c r="M23" s="1"/>
    </x:row>
    <x:row r="24" ht="22" customHeight="1">
      <x:c r="A24" s="1"/>
      <x:c r="B24" s="1"/>
      <x:c r="C24" s="4" t="str">
        <x:v>EBITDA</x:v>
      </x:c>
      <x:c r="D24" s="75" t="n">
        <x:f>'Operating model'!D51</x:f>
        <x:v>-421826.6595</x:v>
      </x:c>
      <x:c r="E24" s="75" t="n">
        <x:f>'Operating model'!E51</x:f>
        <x:v>-698911.5390828333</x:v>
      </x:c>
      <x:c r="F24" s="75" t="n">
        <x:f>'Operating model'!F51</x:f>
        <x:v>-939565.6254099166</x:v>
      </x:c>
      <x:c r="G24" s="75" t="n">
        <x:f>'Operating model'!G51</x:f>
        <x:v>-1378519.2305879998</x:v>
      </x:c>
      <x:c r="H24" s="75" t="n">
        <x:f>'Operating model'!H51</x:f>
        <x:v>-1422374.4945566673</x:v>
      </x:c>
      <x:c r="I24" s="75" t="n">
        <x:f>'Operating model'!I51</x:f>
        <x:v>-302363.53108608257</x:v>
      </x:c>
      <x:c r="J24" s="75" t="n">
        <x:f>'Operating model'!J51</x:f>
        <x:v>3375119.628919999</x:v>
      </x:c>
      <x:c r="K24" s="1"/>
      <x:c r="L24" s="1"/>
      <x:c r="M24" s="1"/>
    </x:row>
    <x:row r="25" ht="22" customHeight="1">
      <x:c r="A25" s="1"/>
      <x:c r="B25" s="1"/>
      <x:c r="C25" s="1" t="str">
        <x:v>Operating profit / EBIT</x:v>
      </x:c>
      <x:c r="D25" s="71" t="n">
        <x:f>'Operating model'!D53</x:f>
        <x:v>-426826.6595</x:v>
      </x:c>
      <x:c r="E25" s="71" t="n">
        <x:f>'Operating model'!E53</x:f>
        <x:v>-712244.8724161667</x:v>
      </x:c>
      <x:c r="F25" s="71" t="n">
        <x:f>'Operating model'!F53</x:f>
        <x:v>-966232.2920765833</x:v>
      </x:c>
      <x:c r="G25" s="71" t="n">
        <x:f>'Operating model'!G53</x:f>
        <x:v>-1425185.8972546665</x:v>
      </x:c>
      <x:c r="H25" s="71" t="n">
        <x:f>'Operating model'!H53</x:f>
        <x:v>-1502374.4945566673</x:v>
      </x:c>
      <x:c r="I25" s="71" t="n">
        <x:f>'Operating model'!I53</x:f>
        <x:v>-435696.86441941594</x:v>
      </x:c>
      <x:c r="J25" s="71" t="n">
        <x:f>'Operating model'!J53</x:f>
        <x:v>3166786.2955866656</x:v>
      </x:c>
      <x:c r="K25" s="1"/>
      <x:c r="L25" s="1"/>
      <x:c r="M25" s="1"/>
    </x:row>
    <x:row r="26" ht="22" customHeight="1">
      <x:c r="A26" s="1"/>
      <x:c r="B26" s="1"/>
      <x:c r="C26" s="4" t="str">
        <x:v>Net income proxy</x:v>
      </x:c>
      <x:c r="D26" s="75" t="n">
        <x:f>'Operating model'!D55</x:f>
        <x:v>-426826.6595</x:v>
      </x:c>
      <x:c r="E26" s="75" t="n">
        <x:f>'Operating model'!E55</x:f>
        <x:v>-712244.8724161667</x:v>
      </x:c>
      <x:c r="F26" s="75" t="n">
        <x:f>'Operating model'!F55</x:f>
        <x:v>-966232.2920765833</x:v>
      </x:c>
      <x:c r="G26" s="75" t="n">
        <x:f>'Operating model'!G55</x:f>
        <x:v>-1425185.8972546665</x:v>
      </x:c>
      <x:c r="H26" s="75" t="n">
        <x:f>'Operating model'!H55</x:f>
        <x:v>-1502374.4945566673</x:v>
      </x:c>
      <x:c r="I26" s="75" t="n">
        <x:f>'Operating model'!I55</x:f>
        <x:v>-435696.86441941594</x:v>
      </x:c>
      <x:c r="J26" s="75" t="n">
        <x:f>'Operating model'!J55</x:f>
        <x:v>2375089.721689999</x:v>
      </x:c>
      <x:c r="K26" s="1"/>
      <x:c r="L26" s="1"/>
      <x:c r="M26" s="1"/>
    </x:row>
    <x:row r="27" ht="22" customHeight="1">
      <x:c r="A27" s="1"/>
      <x:c r="B27" s="1"/>
      <x:c r="C27" s="1"/>
      <x:c r="D27" s="6"/>
      <x:c r="E27" s="6"/>
      <x:c r="F27" s="6"/>
      <x:c r="G27" s="6"/>
      <x:c r="H27" s="6"/>
      <x:c r="I27" s="6"/>
      <x:c r="J27" s="6"/>
      <x:c r="K27" s="1"/>
      <x:c r="L27" s="1"/>
      <x:c r="M27" s="1"/>
    </x:row>
    <x:row r="28" ht="22" customHeight="1">
      <x:c r="A28" s="1"/>
      <x:c r="B28" s="1"/>
      <x:c r="C28" s="4" t="str">
        <x:v>Free cash flow before financing</x:v>
      </x:c>
      <x:c r="D28" s="75" t="n">
        <x:f>'Operating model'!D60</x:f>
        <x:v>-436826.6595</x:v>
      </x:c>
      <x:c r="E28" s="75" t="n">
        <x:f>'Operating model'!E60</x:f>
        <x:v>-723911.5390828333</x:v>
      </x:c>
      <x:c r="F28" s="75" t="n">
        <x:f>'Operating model'!F60</x:f>
        <x:v>-979565.6254099166</x:v>
      </x:c>
      <x:c r="G28" s="75" t="n">
        <x:f>'Operating model'!G60</x:f>
        <x:v>-1453519.2305879998</x:v>
      </x:c>
      <x:c r="H28" s="75" t="n">
        <x:f>'Operating model'!H60</x:f>
        <x:v>-1547374.4945566673</x:v>
      </x:c>
      <x:c r="I28" s="75" t="n">
        <x:f>'Operating model'!I60</x:f>
        <x:v>-502363.53108608257</x:v>
      </x:c>
      <x:c r="J28" s="75" t="n">
        <x:f>'Operating model'!J60</x:f>
        <x:v>2283423.0550233326</x:v>
      </x:c>
      <x:c r="K28" s="1"/>
      <x:c r="L28" s="1"/>
      <x:c r="M28" s="1"/>
    </x:row>
    <x:row r="29" ht="22" customHeight="1">
      <x:c r="A29" s="1"/>
      <x:c r="B29" s="1"/>
      <x:c r="C29" s="1" t="str">
        <x:v>Cumulative free cash flow</x:v>
      </x:c>
      <x:c r="D29" s="71" t="n">
        <x:f>'Operating model'!D61</x:f>
        <x:v>-436826.6595</x:v>
      </x:c>
      <x:c r="E29" s="71" t="n">
        <x:f>'Operating model'!E61</x:f>
        <x:v>-1160738.1985828334</x:v>
      </x:c>
      <x:c r="F29" s="71" t="n">
        <x:f>'Operating model'!F61</x:f>
        <x:v>-2140303.82399275</x:v>
      </x:c>
      <x:c r="G29" s="71" t="n">
        <x:f>'Operating model'!G61</x:f>
        <x:v>-3593823.05458075</x:v>
      </x:c>
      <x:c r="H29" s="71" t="n">
        <x:f>'Operating model'!H61</x:f>
        <x:v>-5141197.549137417</x:v>
      </x:c>
      <x:c r="I29" s="71" t="n">
        <x:f>'Operating model'!I61</x:f>
        <x:v>-5643561.0802235</x:v>
      </x:c>
      <x:c r="J29" s="71" t="n">
        <x:f>'Operating model'!J61</x:f>
        <x:v>-3360138.025200167</x:v>
      </x:c>
      <x:c r="K29" s="1"/>
      <x:c r="L29" s="1"/>
      <x:c r="M29" s="1"/>
    </x:row>
    <x:row r="30" ht="22" customHeight="1">
      <x:c r="A30" s="1"/>
      <x:c r="B30" s="1"/>
      <x:c r="C30" s="4" t="str">
        <x:v>Cash after illustrative round 1 only</x:v>
      </x:c>
      <x:c r="D30" s="75" t="n">
        <x:f>'Operating model'!D64</x:f>
        <x:v>1038173.3404999999</x:v>
      </x:c>
      <x:c r="E30" s="75" t="n">
        <x:f>'Operating model'!E64</x:f>
        <x:v>314261.8014171666</x:v>
      </x:c>
      <x:c r="F30" s="75" t="n">
        <x:f>'Operating model'!F64</x:f>
        <x:v>-665303.82399275</x:v>
      </x:c>
      <x:c r="G30" s="75" t="n">
        <x:f>'Operating model'!G64</x:f>
        <x:v>-2118823.05458075</x:v>
      </x:c>
      <x:c r="H30" s="75" t="n">
        <x:f>'Operating model'!H64</x:f>
        <x:v>-3666197.549137417</x:v>
      </x:c>
      <x:c r="I30" s="75" t="n">
        <x:f>'Operating model'!I64</x:f>
        <x:v>-4168561.0802235</x:v>
      </x:c>
      <x:c r="J30" s="75" t="n">
        <x:f>'Operating model'!J64</x:f>
        <x:v>-1885138.0252001672</x:v>
      </x:c>
      <x:c r="K30" s="1"/>
      <x:c r="L30" s="1"/>
      <x:c r="M30" s="1"/>
    </x:row>
    <x:row r="31" ht="22" customHeight="1">
      <x:c r="A31" s="1"/>
      <x:c r="B31" s="1"/>
      <x:c r="C31" s="1"/>
      <x:c r="D31" s="6"/>
      <x:c r="E31" s="6"/>
      <x:c r="F31" s="6"/>
      <x:c r="G31" s="6"/>
      <x:c r="H31" s="6"/>
      <x:c r="I31" s="6"/>
      <x:c r="J31" s="6"/>
      <x:c r="K31" s="1"/>
      <x:c r="L31" s="1"/>
      <x:c r="M31" s="1"/>
    </x:row>
    <x:row r="32" ht="22" customHeight="1">
      <x:c r="A32" s="1"/>
      <x:c r="B32" s="1"/>
      <x:c r="C32" s="1" t="str">
        <x:v>Peak cumulative funding deficit to date</x:v>
      </x:c>
      <x:c r="D32" s="71" t="n">
        <x:f>'Operating model'!D62</x:f>
        <x:v>436826.6595</x:v>
      </x:c>
      <x:c r="E32" s="71" t="n">
        <x:f>'Operating model'!E62</x:f>
        <x:v>1160738.1985828334</x:v>
      </x:c>
      <x:c r="F32" s="71" t="n">
        <x:f>'Operating model'!F62</x:f>
        <x:v>2140303.82399275</x:v>
      </x:c>
      <x:c r="G32" s="71" t="n">
        <x:f>'Operating model'!G62</x:f>
        <x:v>3593823.05458075</x:v>
      </x:c>
      <x:c r="H32" s="71" t="n">
        <x:f>'Operating model'!H62</x:f>
        <x:v>5141197.549137417</x:v>
      </x:c>
      <x:c r="I32" s="71" t="n">
        <x:f>'Operating model'!I62</x:f>
        <x:v>5643561.0802235</x:v>
      </x:c>
      <x:c r="J32" s="71" t="n">
        <x:f>'Operating model'!J62</x:f>
        <x:v>5643561.0802235</x:v>
      </x:c>
      <x:c r="K32" s="1"/>
      <x:c r="L32" s="1"/>
      <x:c r="M32" s="1"/>
    </x:row>
    <x:row r="33" ht="22" customHeight="1">
      <x:c r="A33" s="1"/>
      <x:c r="B33" s="1"/>
      <x:c r="C33" s="1" t="str">
        <x:v>Six-month fixed-cost buffer</x:v>
      </x:c>
      <x:c r="D33" s="71" t="n">
        <x:f>'Operating model'!D65</x:f>
        <x:v>184500</x:v>
      </x:c>
      <x:c r="E33" s="71" t="n">
        <x:f>'Operating model'!E65</x:f>
        <x:v>347666.6666666667</x:v>
      </x:c>
      <x:c r="F33" s="71" t="n">
        <x:f>'Operating model'!F65</x:f>
        <x:v>611833.3333333333</x:v>
      </x:c>
      <x:c r="G33" s="71" t="n">
        <x:f>'Operating model'!G65</x:f>
        <x:v>1173200</x:v>
      </x:c>
      <x:c r="H33" s="71" t="n">
        <x:f>'Operating model'!H65</x:f>
        <x:v>2112673.3333333335</x:v>
      </x:c>
      <x:c r="I33" s="71" t="n">
        <x:f>'Operating model'!I65</x:f>
        <x:v>3701374.6666666665</x:v>
      </x:c>
      <x:c r="J33" s="71" t="n">
        <x:f>'Operating model'!J65</x:f>
        <x:v>5774649.599999999</x:v>
      </x:c>
      <x:c r="K33" s="1"/>
      <x:c r="L33" s="1"/>
      <x:c r="M33" s="1"/>
    </x:row>
    <x:row r="34" ht="22" customHeight="1">
      <x:c r="A34" s="1"/>
      <x:c r="B34" s="1"/>
      <x:c r="C34" s="4" t="str">
        <x:v>Capital requirement incl. buffer</x:v>
      </x:c>
      <x:c r="D34" s="75" t="n">
        <x:f>'Operating model'!D66</x:f>
        <x:v>621326.6595000001</x:v>
      </x:c>
      <x:c r="E34" s="75" t="n">
        <x:f>'Operating model'!E66</x:f>
        <x:v>1508404.8652495001</x:v>
      </x:c>
      <x:c r="F34" s="75" t="n">
        <x:f>'Operating model'!F66</x:f>
        <x:v>2752137.1573260836</x:v>
      </x:c>
      <x:c r="G34" s="75" t="n">
        <x:f>'Operating model'!G66</x:f>
        <x:v>4767023.05458075</x:v>
      </x:c>
      <x:c r="H34" s="75" t="n">
        <x:f>'Operating model'!H66</x:f>
        <x:v>7253870.882470751</x:v>
      </x:c>
      <x:c r="I34" s="75" t="n">
        <x:f>'Operating model'!I66</x:f>
        <x:v>9344935.746890167</x:v>
      </x:c>
      <x:c r="J34" s="75" t="n">
        <x:f>'Operating model'!J66</x:f>
        <x:v>11418210.680223498</x:v>
      </x:c>
      <x:c r="K34" s="1"/>
      <x:c r="L34" s="1"/>
      <x:c r="M34" s="1"/>
    </x:row>
    <x:row r="35" ht="22" customHeight="1">
      <x:c r="A35" s="1"/>
      <x:c r="B35" s="1"/>
      <x:c r="C35" s="1"/>
      <x:c r="D35" s="6"/>
      <x:c r="E35" s="6"/>
      <x:c r="F35" s="6"/>
      <x:c r="G35" s="6"/>
      <x:c r="H35" s="6"/>
      <x:c r="I35" s="6"/>
      <x:c r="J35" s="6"/>
      <x:c r="K35" s="1"/>
      <x:c r="L35" s="1"/>
      <x:c r="M35" s="1"/>
    </x:row>
    <x:row r="36" ht="22" customHeight="1">
      <x:c r="A36" s="1"/>
      <x:c r="B36" s="1"/>
      <x:c r="C36" s="1" t="str">
        <x:v>Recurring contribution / paid job</x:v>
      </x:c>
      <x:c r="D36" s="69" t="n">
        <x:f>'Operating model'!D68</x:f>
        <x:v>-0.25</x:v>
      </x:c>
      <x:c r="E36" s="69" t="n">
        <x:f>'Operating model'!E68</x:f>
        <x:v>-0.25</x:v>
      </x:c>
      <x:c r="F36" s="69" t="n">
        <x:f>'Operating model'!F68</x:f>
        <x:v>-0.25</x:v>
      </x:c>
      <x:c r="G36" s="69" t="n">
        <x:f>'Operating model'!G68</x:f>
        <x:v>-0.25</x:v>
      </x:c>
      <x:c r="H36" s="69" t="n">
        <x:f>'Operating model'!H68</x:f>
        <x:v>-0.25</x:v>
      </x:c>
      <x:c r="I36" s="69" t="n">
        <x:f>'Operating model'!I68</x:f>
        <x:v>-0.25</x:v>
      </x:c>
      <x:c r="J36" s="69" t="n">
        <x:f>'Operating model'!J68</x:f>
        <x:v>-0.25</x:v>
      </x:c>
      <x:c r="K36" s="1"/>
      <x:c r="L36" s="1"/>
      <x:c r="M36" s="1"/>
    </x:row>
    <x:row r="37" ht="22" customHeight="1">
      <x:c r="A37" s="1"/>
      <x:c r="B37" s="1"/>
      <x:c r="C37" s="1"/>
      <x:c r="D37" s="6"/>
      <x:c r="E37" s="6"/>
      <x:c r="F37" s="6"/>
      <x:c r="G37" s="6"/>
      <x:c r="H37" s="6"/>
      <x:c r="I37" s="6"/>
      <x:c r="J37" s="6"/>
      <x:c r="K37" s="1"/>
      <x:c r="L37" s="1"/>
      <x:c r="M37" s="1"/>
    </x:row>
    <x:row r="38" ht="22" customHeight="1">
      <x:c r="A38" s="1"/>
      <x:c r="B38" s="1"/>
      <x:c r="C38" s="1"/>
      <x:c r="D38" s="6"/>
      <x:c r="E38" s="6"/>
      <x:c r="F38" s="6"/>
      <x:c r="G38" s="6"/>
      <x:c r="H38" s="6"/>
      <x:c r="I38" s="6"/>
      <x:c r="J38" s="6"/>
      <x:c r="K38" s="1"/>
      <x:c r="L38" s="1"/>
      <x:c r="M38" s="1"/>
    </x:row>
    <x:row r="39" ht="22" customHeight="1">
      <x:c r="A39" s="1"/>
      <x:c r="B39" s="1"/>
      <x:c r="C39" s="32" t="str">
        <x:v>All years are illustrative forecasts. GMV belongs to providers before marketplace deductions. Revenue includes acquisition fees and selected provider subscriptions. Customers pay service businesses directly; gross booking value is not YardMatch revenue. This is a management presentation, not an accounting policy opinion.</x:v>
      </x:c>
      <x:c r="D39" s="33"/>
      <x:c r="E39" s="33"/>
      <x:c r="F39" s="33"/>
      <x:c r="G39" s="33"/>
      <x:c r="H39" s="33"/>
      <x:c r="I39" s="33"/>
      <x:c r="J39" s="33"/>
      <x:c r="K39" s="1"/>
      <x:c r="L39" s="1"/>
      <x:c r="M39" s="1"/>
    </x:row>
    <x:row r="40" ht="22" customHeight="1">
      <x:c r="A40" s="1"/>
      <x:c r="B40" s="1"/>
      <x:c r="C40" s="32"/>
      <x:c r="D40" s="33"/>
      <x:c r="E40" s="33"/>
      <x:c r="F40" s="33"/>
      <x:c r="G40" s="33"/>
      <x:c r="H40" s="33"/>
      <x:c r="I40" s="33"/>
      <x:c r="J40" s="33"/>
      <x:c r="K40" s="1"/>
      <x:c r="L40" s="1"/>
      <x:c r="M40" s="1"/>
    </x:row>
    <x:row r="41" ht="22" customHeight="1">
      <x:c r="A41" s="1"/>
      <x:c r="B41" s="1"/>
      <x:c r="C41" s="1"/>
      <x:c r="D41" s="6"/>
      <x:c r="E41" s="6"/>
      <x:c r="F41" s="6"/>
      <x:c r="G41" s="6"/>
      <x:c r="H41" s="6"/>
      <x:c r="I41" s="6"/>
      <x:c r="J41" s="6"/>
      <x:c r="K41" s="1"/>
      <x:c r="L41" s="1"/>
      <x:c r="M41" s="1"/>
    </x:row>
    <x:row r="42" ht="22" customHeight="1">
      <x:c r="A42" s="1"/>
      <x:c r="B42" s="1"/>
      <x:c r="C42" s="32" t="str">
        <x:v>Support and infrastructure create the small negative repeat contribution because YardMatch charges no recurring service fee. Negative cash requires funding or a change in spending. Capital requirement combines the peak cumulative deficit to date with six months of that year's fixed costs. It is not a monthly runway model.</x:v>
      </x:c>
      <x:c r="D42" s="33"/>
      <x:c r="E42" s="33"/>
      <x:c r="F42" s="33"/>
      <x:c r="G42" s="33"/>
      <x:c r="H42" s="33"/>
      <x:c r="I42" s="33"/>
      <x:c r="J42" s="33"/>
      <x:c r="K42" s="1"/>
      <x:c r="L42" s="1"/>
      <x:c r="M42" s="1"/>
    </x:row>
    <x:row r="43" ht="22" customHeight="1">
      <x:c r="A43" s="1"/>
      <x:c r="B43" s="1"/>
      <x:c r="C43" s="32"/>
      <x:c r="D43" s="33"/>
      <x:c r="E43" s="33"/>
      <x:c r="F43" s="33"/>
      <x:c r="G43" s="33"/>
      <x:c r="H43" s="33"/>
      <x:c r="I43" s="33"/>
      <x:c r="J43" s="33"/>
      <x:c r="K43" s="1"/>
      <x:c r="L43" s="1"/>
      <x:c r="M43" s="1"/>
    </x:row>
    <x:row r="44" ht="22" customHeight="1">
      <x:c r="A44" s="1"/>
      <x:c r="B44" s="1"/>
      <x:c r="C44" s="1"/>
      <x:c r="D44" s="6"/>
      <x:c r="E44" s="6"/>
      <x:c r="F44" s="6"/>
      <x:c r="G44" s="6"/>
      <x:c r="H44" s="6"/>
      <x:c r="I44" s="6"/>
      <x:c r="J44" s="6"/>
      <x:c r="K44" s="1"/>
      <x:c r="L44" s="1"/>
      <x:c r="M44" s="1"/>
    </x:row>
    <x:row r="45" ht="22" customHeight="1">
      <x:c r="A45" s="1"/>
      <x:c r="B45" s="1"/>
      <x:c r="C45" s="32" t="str">
        <x:v>Forecast starts January 2027 with zero opening balances. Select a case on Assumptions. National rollout controls service-area cohorts, states, staffing and local costs. Named New Jersey towns remain pilot evidence rather than the consolidated footprint.</x:v>
      </x:c>
      <x:c r="D45" s="33"/>
      <x:c r="E45" s="33"/>
      <x:c r="F45" s="33"/>
      <x:c r="G45" s="33"/>
      <x:c r="H45" s="33"/>
      <x:c r="I45" s="33"/>
      <x:c r="J45" s="33"/>
      <x:c r="K45" s="1"/>
      <x:c r="L45" s="1"/>
      <x:c r="M45" s="1"/>
    </x:row>
    <x:row r="46" ht="22" customHeight="1">
      <x:c r="A46" s="1"/>
      <x:c r="B46" s="1"/>
      <x:c r="C46" s="32"/>
      <x:c r="D46" s="33"/>
      <x:c r="E46" s="33"/>
      <x:c r="F46" s="33"/>
      <x:c r="G46" s="33"/>
      <x:c r="H46" s="33"/>
      <x:c r="I46" s="33"/>
      <x:c r="J46" s="33"/>
      <x:c r="K46" s="1"/>
      <x:c r="L46" s="1"/>
      <x:c r="M46" s="1"/>
    </x:row>
    <x:row r="47" ht="22" customHeight="1">
      <x:c r="A47" s="1"/>
      <x:c r="B47" s="1"/>
      <x:c r="C47" s="1"/>
      <x:c r="D47" s="6"/>
      <x:c r="E47" s="6"/>
      <x:c r="F47" s="6"/>
      <x:c r="G47" s="6"/>
      <x:c r="H47" s="6"/>
      <x:c r="I47" s="6"/>
      <x:c r="J47" s="6"/>
      <x:c r="K47" s="1"/>
      <x:c r="L47" s="1"/>
      <x:c r="M47" s="1"/>
    </x:row>
    <x:row r="48" ht="22" customHeight="1">
      <x:c r="A48" s="1"/>
      <x:c r="B48" s="1"/>
      <x:c r="C48" s="1"/>
      <x:c r="D48" s="6"/>
      <x:c r="E48" s="6"/>
      <x:c r="F48" s="6"/>
      <x:c r="G48" s="6"/>
      <x:c r="H48" s="6"/>
      <x:c r="I48" s="6"/>
      <x:c r="J48" s="6"/>
      <x:c r="K48" s="1"/>
      <x:c r="L48" s="1"/>
      <x:c r="M48" s="1"/>
    </x:row>
  </x:sheetData>
  <x:mergeCells>
    <x:mergeCell ref="C39:J40"/>
    <x:mergeCell ref="C42:J43"/>
    <x:mergeCell ref="C45:J4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Forecast assumptions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Case selector</x:v>
      </x:c>
      <x:c r="D3" s="8" t="str"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 t="str">
        <x:v>Pricing recommendation</x:v>
      </x:c>
      <x:c r="D4" s="9" t="str">
        <x:v>Proposed</x:v>
      </x:c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0" t="str">
        <x:v>Basis / source. All operating drivers are assumptions, not actuals.</x:v>
      </x:c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0"/>
      <x:c r="M6" s="1"/>
    </x:row>
    <x:row r="7" ht="22" customHeight="1">
      <x:c r="A7" s="1"/>
      <x:c r="B7" s="1"/>
      <x:c r="C7" s="4" t="str">
        <x:v>New households / national cohorts</x:v>
      </x:c>
      <x:c r="D7" s="53" t="n">
        <x:f>'National rollout'!D68</x:f>
        <x:v>240</x:v>
      </x:c>
      <x:c r="E7" s="53" t="n">
        <x:f>'National rollout'!E68</x:f>
        <x:v>1582</x:v>
      </x:c>
      <x:c r="F7" s="53" t="n">
        <x:f>'National rollout'!F68</x:f>
        <x:v>6847.5</x:v>
      </x:c>
      <x:c r="G7" s="53" t="n">
        <x:f>'National rollout'!G68</x:f>
        <x:v>20235.2</x:v>
      </x:c>
      <x:c r="H7" s="53" t="n">
        <x:f>'National rollout'!H68</x:f>
        <x:v>51620</x:v>
      </x:c>
      <x:c r="I7" s="53" t="n">
        <x:f>'National rollout'!I68</x:f>
        <x:v>120530</x:v>
      </x:c>
      <x:c r="J7" s="53" t="n">
        <x:f>'National rollout'!J68</x:f>
        <x:v>236920</x:v>
      </x:c>
      <x:c r="K7" s="1"/>
      <x:c r="L7" s="10" t="str">
        <x:v>Formula from National rollout. Change footprint, cohort, staffing and cost assumptions on that sheet.</x:v>
      </x:c>
      <x:c r="M7" s="1"/>
    </x:row>
    <x:row r="8" ht="22" customHeight="1">
      <x:c r="A8" s="1"/>
      <x:c r="B8" s="1"/>
      <x:c r="C8" s="1"/>
      <x:c r="D8" s="14"/>
      <x:c r="E8" s="14"/>
      <x:c r="F8" s="14"/>
      <x:c r="G8" s="14"/>
      <x:c r="H8" s="14"/>
      <x:c r="I8" s="14"/>
      <x:c r="J8" s="14"/>
      <x:c r="K8" s="1"/>
      <x:c r="L8" s="10"/>
      <x:c r="M8" s="1"/>
    </x:row>
    <x:row r="9" ht="22" customHeight="1">
      <x:c r="A9" s="1"/>
      <x:c r="B9" s="1"/>
      <x:c r="C9" s="1"/>
      <x:c r="D9" s="14"/>
      <x:c r="E9" s="14"/>
      <x:c r="F9" s="14"/>
      <x:c r="G9" s="14"/>
      <x:c r="H9" s="14"/>
      <x:c r="I9" s="14"/>
      <x:c r="J9" s="14"/>
      <x:c r="K9" s="1"/>
      <x:c r="L9" s="10"/>
      <x:c r="M9" s="1"/>
    </x:row>
    <x:row r="10" ht="22" customHeight="1">
      <x:c r="A10" s="1"/>
      <x:c r="B10" s="1"/>
      <x:c r="C10" s="1"/>
      <x:c r="D10" s="14"/>
      <x:c r="E10" s="14"/>
      <x:c r="F10" s="14"/>
      <x:c r="G10" s="14"/>
      <x:c r="H10" s="14"/>
      <x:c r="I10" s="14"/>
      <x:c r="J10" s="14"/>
      <x:c r="K10" s="1"/>
      <x:c r="L10" s="10"/>
      <x:c r="M10" s="1"/>
    </x:row>
    <x:row r="11" ht="22" customHeight="1">
      <x:c r="A11" s="1"/>
      <x:c r="B11" s="1"/>
      <x:c r="C11" s="1"/>
      <x:c r="D11" s="6"/>
      <x:c r="E11" s="6"/>
      <x:c r="F11" s="6"/>
      <x:c r="G11" s="6"/>
      <x:c r="H11" s="6"/>
      <x:c r="I11" s="6"/>
      <x:c r="J11" s="6"/>
      <x:c r="K11" s="1"/>
      <x:c r="L11" s="10"/>
      <x:c r="M11" s="1"/>
    </x:row>
    <x:row r="12" ht="22" customHeight="1">
      <x:c r="A12" s="1"/>
      <x:c r="B12" s="1"/>
      <x:c r="C12" s="4" t="str">
        <x:v>Annual household retention / active</x:v>
      </x:c>
      <x:c r="D12" s="18" t="n">
        <x:f>IF($D$3="Base",D13,IF($D$3="Downside",D14,D15))</x:f>
        <x:v>0.7</x:v>
      </x:c>
      <x:c r="E12" s="18" t="n">
        <x:f>IF($D$3="Base",E13,IF($D$3="Downside",E14,E15))</x:f>
        <x:v>0.7</x:v>
      </x:c>
      <x:c r="F12" s="18" t="n">
        <x:f>IF($D$3="Base",F13,IF($D$3="Downside",F14,F15))</x:f>
        <x:v>0.75</x:v>
      </x:c>
      <x:c r="G12" s="18" t="n">
        <x:f>IF($D$3="Base",G13,IF($D$3="Downside",G14,G15))</x:f>
        <x:v>0.78</x:v>
      </x:c>
      <x:c r="H12" s="18" t="n">
        <x:f>IF($D$3="Base",H13,IF($D$3="Downside",H14,H15))</x:f>
        <x:v>0.8</x:v>
      </x:c>
      <x:c r="I12" s="18" t="n">
        <x:f>IF($D$3="Base",I13,IF($D$3="Downside",I14,I15))</x:f>
        <x:v>0.8</x:v>
      </x:c>
      <x:c r="J12" s="18" t="n">
        <x:f>IF($D$3="Base",J13,IF($D$3="Downside",J14,J15))</x:f>
        <x:v>0.8</x:v>
      </x:c>
      <x:c r="K12" s="1"/>
      <x:c r="L12" s="10" t="str">
        <x:v>Planning assumption, September 20, 2026. No operating actuals supplied.</x:v>
      </x:c>
      <x:c r="M12" s="1"/>
    </x:row>
    <x:row r="13" ht="22" customHeight="1">
      <x:c r="A13" s="1"/>
      <x:c r="B13" s="1"/>
      <x:c r="C13" s="1" t="str">
        <x:v>Base</x:v>
      </x:c>
      <x:c r="D13" s="17" t="n">
        <x:v>0.7</x:v>
      </x:c>
      <x:c r="E13" s="17" t="n">
        <x:v>0.7</x:v>
      </x:c>
      <x:c r="F13" s="17" t="n">
        <x:v>0.75</x:v>
      </x:c>
      <x:c r="G13" s="17" t="n">
        <x:v>0.78</x:v>
      </x:c>
      <x:c r="H13" s="17" t="n">
        <x:v>0.8</x:v>
      </x:c>
      <x:c r="I13" s="17" t="n">
        <x:v>0.8</x:v>
      </x:c>
      <x:c r="J13" s="17" t="n">
        <x:v>0.8</x:v>
      </x:c>
      <x:c r="K13" s="1"/>
      <x:c r="L13" s="10"/>
      <x:c r="M13" s="1"/>
    </x:row>
    <x:row r="14" ht="22" customHeight="1">
      <x:c r="A14" s="1"/>
      <x:c r="B14" s="1"/>
      <x:c r="C14" s="1" t="str">
        <x:v>Downside</x:v>
      </x:c>
      <x:c r="D14" s="17" t="n">
        <x:v>0.55</x:v>
      </x:c>
      <x:c r="E14" s="17" t="n">
        <x:v>0.55</x:v>
      </x:c>
      <x:c r="F14" s="17" t="n">
        <x:v>0.6</x:v>
      </x:c>
      <x:c r="G14" s="17" t="n">
        <x:v>0.6</x:v>
      </x:c>
      <x:c r="H14" s="17" t="n">
        <x:v>0.65</x:v>
      </x:c>
      <x:c r="I14" s="17" t="n">
        <x:v>0.65</x:v>
      </x:c>
      <x:c r="J14" s="17" t="n">
        <x:v>0.65</x:v>
      </x:c>
      <x:c r="K14" s="1"/>
      <x:c r="L14" s="10"/>
      <x:c r="M14" s="1"/>
    </x:row>
    <x:row r="15" ht="22" customHeight="1">
      <x:c r="A15" s="1"/>
      <x:c r="B15" s="1"/>
      <x:c r="C15" s="1" t="str">
        <x:v>Upside</x:v>
      </x:c>
      <x:c r="D15" s="17" t="n">
        <x:v>0.8</x:v>
      </x:c>
      <x:c r="E15" s="17" t="n">
        <x:v>0.8</x:v>
      </x:c>
      <x:c r="F15" s="17" t="n">
        <x:v>0.82</x:v>
      </x:c>
      <x:c r="G15" s="17" t="n">
        <x:v>0.85</x:v>
      </x:c>
      <x:c r="H15" s="17" t="n">
        <x:v>0.85</x:v>
      </x:c>
      <x:c r="I15" s="17" t="n">
        <x:v>0.85</x:v>
      </x:c>
      <x:c r="J15" s="17" t="n">
        <x:v>0.85</x:v>
      </x:c>
      <x:c r="K15" s="1"/>
      <x:c r="L15" s="10"/>
      <x:c r="M15" s="1"/>
    </x:row>
    <x:row r="16" ht="22" customHeight="1">
      <x:c r="A16" s="1"/>
      <x:c r="B16" s="1"/>
      <x:c r="C16" s="1"/>
      <x:c r="D16" s="6"/>
      <x:c r="E16" s="6"/>
      <x:c r="F16" s="6"/>
      <x:c r="G16" s="6"/>
      <x:c r="H16" s="6"/>
      <x:c r="I16" s="6"/>
      <x:c r="J16" s="6"/>
      <x:c r="K16" s="1"/>
      <x:c r="L16" s="10"/>
      <x:c r="M16" s="1"/>
    </x:row>
    <x:row r="17" ht="22" customHeight="1">
      <x:c r="A17" s="1"/>
      <x:c r="B17" s="1"/>
      <x:c r="C17" s="4" t="str">
        <x:v>Maintenance visits / full season / active</x:v>
      </x:c>
      <x:c r="D17" s="21" t="n">
        <x:f>IF($D$3="Base",D18,IF($D$3="Downside",D19,D20))</x:f>
        <x:v>20</x:v>
      </x:c>
      <x:c r="E17" s="21" t="n">
        <x:f>IF($D$3="Base",E18,IF($D$3="Downside",E19,E20))</x:f>
        <x:v>20</x:v>
      </x:c>
      <x:c r="F17" s="21" t="n">
        <x:f>IF($D$3="Base",F18,IF($D$3="Downside",F19,F20))</x:f>
        <x:v>20</x:v>
      </x:c>
      <x:c r="G17" s="21" t="n">
        <x:f>IF($D$3="Base",G18,IF($D$3="Downside",G19,G20))</x:f>
        <x:v>20</x:v>
      </x:c>
      <x:c r="H17" s="21" t="n">
        <x:f>IF($D$3="Base",H18,IF($D$3="Downside",H19,H20))</x:f>
        <x:v>20</x:v>
      </x:c>
      <x:c r="I17" s="21" t="n">
        <x:f>IF($D$3="Base",I18,IF($D$3="Downside",I19,I20))</x:f>
        <x:v>20</x:v>
      </x:c>
      <x:c r="J17" s="21" t="n">
        <x:f>IF($D$3="Base",J18,IF($D$3="Downside",J19,J20))</x:f>
        <x:v>20</x:v>
      </x:c>
      <x:c r="K17" s="1"/>
      <x:c r="L17" s="10" t="str">
        <x:v>Planning assumption, September 20, 2026. No operating actuals supplied.</x:v>
      </x:c>
      <x:c r="M17" s="1"/>
    </x:row>
    <x:row r="18" ht="22" customHeight="1">
      <x:c r="A18" s="1"/>
      <x:c r="B18" s="1"/>
      <x:c r="C18" s="1" t="str">
        <x:v>Base</x:v>
      </x:c>
      <x:c r="D18" s="20" t="n">
        <x:v>20</x:v>
      </x:c>
      <x:c r="E18" s="20" t="n">
        <x:v>20</x:v>
      </x:c>
      <x:c r="F18" s="20" t="n">
        <x:v>20</x:v>
      </x:c>
      <x:c r="G18" s="20" t="n">
        <x:v>20</x:v>
      </x:c>
      <x:c r="H18" s="20" t="n">
        <x:v>20</x:v>
      </x:c>
      <x:c r="I18" s="20" t="n">
        <x:v>20</x:v>
      </x:c>
      <x:c r="J18" s="20" t="n">
        <x:v>20</x:v>
      </x:c>
      <x:c r="K18" s="1"/>
      <x:c r="L18" s="10"/>
      <x:c r="M18" s="1"/>
    </x:row>
    <x:row r="19" ht="22" customHeight="1">
      <x:c r="A19" s="1"/>
      <x:c r="B19" s="1"/>
      <x:c r="C19" s="1" t="str">
        <x:v>Downside</x:v>
      </x:c>
      <x:c r="D19" s="20" t="n">
        <x:v>16</x:v>
      </x:c>
      <x:c r="E19" s="20" t="n">
        <x:v>16</x:v>
      </x:c>
      <x:c r="F19" s="20" t="n">
        <x:v>16</x:v>
      </x:c>
      <x:c r="G19" s="20" t="n">
        <x:v>16</x:v>
      </x:c>
      <x:c r="H19" s="20" t="n">
        <x:v>16</x:v>
      </x:c>
      <x:c r="I19" s="20" t="n">
        <x:v>16</x:v>
      </x:c>
      <x:c r="J19" s="20" t="n">
        <x:v>16</x:v>
      </x:c>
      <x:c r="K19" s="1"/>
      <x:c r="L19" s="10"/>
      <x:c r="M19" s="1"/>
    </x:row>
    <x:row r="20" ht="22" customHeight="1">
      <x:c r="A20" s="1"/>
      <x:c r="B20" s="1"/>
      <x:c r="C20" s="1" t="str">
        <x:v>Upside</x:v>
      </x:c>
      <x:c r="D20" s="20" t="n">
        <x:v>24</x:v>
      </x:c>
      <x:c r="E20" s="20" t="n">
        <x:v>24</x:v>
      </x:c>
      <x:c r="F20" s="20" t="n">
        <x:v>24</x:v>
      </x:c>
      <x:c r="G20" s="20" t="n">
        <x:v>24</x:v>
      </x:c>
      <x:c r="H20" s="20" t="n">
        <x:v>24</x:v>
      </x:c>
      <x:c r="I20" s="20" t="n">
        <x:v>24</x:v>
      </x:c>
      <x:c r="J20" s="20" t="n">
        <x:v>24</x:v>
      </x:c>
      <x:c r="K20" s="1"/>
      <x:c r="L20" s="10"/>
      <x:c r="M20" s="1"/>
    </x:row>
    <x:row r="21" ht="22" customHeight="1">
      <x:c r="A21" s="1"/>
      <x:c r="B21" s="1"/>
      <x:c r="C21" s="1"/>
      <x:c r="D21" s="6"/>
      <x:c r="E21" s="6"/>
      <x:c r="F21" s="6"/>
      <x:c r="G21" s="6"/>
      <x:c r="H21" s="6"/>
      <x:c r="I21" s="6"/>
      <x:c r="J21" s="6"/>
      <x:c r="K21" s="1"/>
      <x:c r="L21" s="10"/>
      <x:c r="M21" s="1"/>
    </x:row>
    <x:row r="22" ht="22" customHeight="1">
      <x:c r="A22" s="1"/>
      <x:c r="B22" s="1"/>
      <x:c r="C22" s="4" t="str">
        <x:v>Share of visits kept on platform / active</x:v>
      </x:c>
      <x:c r="D22" s="18" t="n">
        <x:f>IF($D$3="Base",D23,IF($D$3="Downside",D24,D25))</x:f>
        <x:v>0.9</x:v>
      </x:c>
      <x:c r="E22" s="18" t="n">
        <x:f>IF($D$3="Base",E23,IF($D$3="Downside",E24,E25))</x:f>
        <x:v>0.9</x:v>
      </x:c>
      <x:c r="F22" s="18" t="n">
        <x:f>IF($D$3="Base",F23,IF($D$3="Downside",F24,F25))</x:f>
        <x:v>0.9</x:v>
      </x:c>
      <x:c r="G22" s="18" t="n">
        <x:f>IF($D$3="Base",G23,IF($D$3="Downside",G24,G25))</x:f>
        <x:v>0.9</x:v>
      </x:c>
      <x:c r="H22" s="18" t="n">
        <x:f>IF($D$3="Base",H23,IF($D$3="Downside",H24,H25))</x:f>
        <x:v>0.9</x:v>
      </x:c>
      <x:c r="I22" s="18" t="n">
        <x:f>IF($D$3="Base",I23,IF($D$3="Downside",I24,I25))</x:f>
        <x:v>0.9</x:v>
      </x:c>
      <x:c r="J22" s="18" t="n">
        <x:f>IF($D$3="Base",J23,IF($D$3="Downside",J24,J25))</x:f>
        <x:v>0.9</x:v>
      </x:c>
      <x:c r="K22" s="1"/>
      <x:c r="L22" s="10" t="str">
        <x:v>Planning assumption, September 20, 2026. No operating actuals supplied.</x:v>
      </x:c>
      <x:c r="M22" s="1"/>
    </x:row>
    <x:row r="23" ht="22" customHeight="1">
      <x:c r="A23" s="1"/>
      <x:c r="B23" s="1"/>
      <x:c r="C23" s="1" t="str">
        <x:v>Base</x:v>
      </x:c>
      <x:c r="D23" s="17" t="n">
        <x:v>0.9</x:v>
      </x:c>
      <x:c r="E23" s="17" t="n">
        <x:v>0.9</x:v>
      </x:c>
      <x:c r="F23" s="17" t="n">
        <x:v>0.9</x:v>
      </x:c>
      <x:c r="G23" s="17" t="n">
        <x:v>0.9</x:v>
      </x:c>
      <x:c r="H23" s="17" t="n">
        <x:v>0.9</x:v>
      </x:c>
      <x:c r="I23" s="17" t="n">
        <x:v>0.9</x:v>
      </x:c>
      <x:c r="J23" s="17" t="n">
        <x:v>0.9</x:v>
      </x:c>
      <x:c r="K23" s="1"/>
      <x:c r="L23" s="10"/>
      <x:c r="M23" s="1"/>
    </x:row>
    <x:row r="24" ht="22" customHeight="1">
      <x:c r="A24" s="1"/>
      <x:c r="B24" s="1"/>
      <x:c r="C24" s="1" t="str">
        <x:v>Downside</x:v>
      </x:c>
      <x:c r="D24" s="17" t="n">
        <x:v>0.8</x:v>
      </x:c>
      <x:c r="E24" s="17" t="n">
        <x:v>0.8</x:v>
      </x:c>
      <x:c r="F24" s="17" t="n">
        <x:v>0.8</x:v>
      </x:c>
      <x:c r="G24" s="17" t="n">
        <x:v>0.8</x:v>
      </x:c>
      <x:c r="H24" s="17" t="n">
        <x:v>0.8</x:v>
      </x:c>
      <x:c r="I24" s="17" t="n">
        <x:v>0.8</x:v>
      </x:c>
      <x:c r="J24" s="17" t="n">
        <x:v>0.8</x:v>
      </x:c>
      <x:c r="K24" s="1"/>
      <x:c r="L24" s="10"/>
      <x:c r="M24" s="1"/>
    </x:row>
    <x:row r="25" ht="22" customHeight="1">
      <x:c r="A25" s="1"/>
      <x:c r="B25" s="1"/>
      <x:c r="C25" s="1" t="str">
        <x:v>Upside</x:v>
      </x:c>
      <x:c r="D25" s="17" t="n">
        <x:v>0.95</x:v>
      </x:c>
      <x:c r="E25" s="17" t="n">
        <x:v>0.95</x:v>
      </x:c>
      <x:c r="F25" s="17" t="n">
        <x:v>0.95</x:v>
      </x:c>
      <x:c r="G25" s="17" t="n">
        <x:v>0.95</x:v>
      </x:c>
      <x:c r="H25" s="17" t="n">
        <x:v>0.95</x:v>
      </x:c>
      <x:c r="I25" s="17" t="n">
        <x:v>0.95</x:v>
      </x:c>
      <x:c r="J25" s="17" t="n">
        <x:v>0.95</x:v>
      </x:c>
      <x:c r="K25" s="1"/>
      <x:c r="L25" s="10"/>
      <x:c r="M25" s="1"/>
    </x:row>
    <x:row r="26" ht="22" customHeight="1">
      <x:c r="A26" s="1"/>
      <x:c r="B26" s="1"/>
      <x:c r="C26" s="1"/>
      <x:c r="D26" s="6"/>
      <x:c r="E26" s="6"/>
      <x:c r="F26" s="6"/>
      <x:c r="G26" s="6"/>
      <x:c r="H26" s="6"/>
      <x:c r="I26" s="6"/>
      <x:c r="J26" s="6"/>
      <x:c r="K26" s="1"/>
      <x:c r="L26" s="10"/>
      <x:c r="M26" s="1"/>
    </x:row>
    <x:row r="27" ht="22" customHeight="1">
      <x:c r="A27" s="1"/>
      <x:c r="B27" s="1"/>
      <x:c r="C27" s="4" t="str">
        <x:v>Completion and successful collection / active</x:v>
      </x:c>
      <x:c r="D27" s="18" t="n">
        <x:f>IF($D$3="Base",D28,IF($D$3="Downside",D29,D30))</x:f>
        <x:v>0.95</x:v>
      </x:c>
      <x:c r="E27" s="18" t="n">
        <x:f>IF($D$3="Base",E28,IF($D$3="Downside",E29,E30))</x:f>
        <x:v>0.95</x:v>
      </x:c>
      <x:c r="F27" s="18" t="n">
        <x:f>IF($D$3="Base",F28,IF($D$3="Downside",F29,F30))</x:f>
        <x:v>0.95</x:v>
      </x:c>
      <x:c r="G27" s="18" t="n">
        <x:f>IF($D$3="Base",G28,IF($D$3="Downside",G29,G30))</x:f>
        <x:v>0.95</x:v>
      </x:c>
      <x:c r="H27" s="18" t="n">
        <x:f>IF($D$3="Base",H28,IF($D$3="Downside",H29,H30))</x:f>
        <x:v>0.95</x:v>
      </x:c>
      <x:c r="I27" s="18" t="n">
        <x:f>IF($D$3="Base",I28,IF($D$3="Downside",I29,I30))</x:f>
        <x:v>0.95</x:v>
      </x:c>
      <x:c r="J27" s="18" t="n">
        <x:f>IF($D$3="Base",J28,IF($D$3="Downside",J29,J30))</x:f>
        <x:v>0.95</x:v>
      </x:c>
      <x:c r="K27" s="1"/>
      <x:c r="L27" s="10" t="str">
        <x:v>Planning assumption, September 20, 2026. No operating actuals supplied.</x:v>
      </x:c>
      <x:c r="M27" s="1"/>
    </x:row>
    <x:row r="28" ht="22" customHeight="1">
      <x:c r="A28" s="1"/>
      <x:c r="B28" s="1"/>
      <x:c r="C28" s="1" t="str">
        <x:v>Base</x:v>
      </x:c>
      <x:c r="D28" s="17" t="n">
        <x:v>0.95</x:v>
      </x:c>
      <x:c r="E28" s="17" t="n">
        <x:v>0.95</x:v>
      </x:c>
      <x:c r="F28" s="17" t="n">
        <x:v>0.95</x:v>
      </x:c>
      <x:c r="G28" s="17" t="n">
        <x:v>0.95</x:v>
      </x:c>
      <x:c r="H28" s="17" t="n">
        <x:v>0.95</x:v>
      </x:c>
      <x:c r="I28" s="17" t="n">
        <x:v>0.95</x:v>
      </x:c>
      <x:c r="J28" s="17" t="n">
        <x:v>0.95</x:v>
      </x:c>
      <x:c r="K28" s="1"/>
      <x:c r="L28" s="10"/>
      <x:c r="M28" s="1"/>
    </x:row>
    <x:row r="29" ht="22" customHeight="1">
      <x:c r="A29" s="1"/>
      <x:c r="B29" s="1"/>
      <x:c r="C29" s="1" t="str">
        <x:v>Downside</x:v>
      </x:c>
      <x:c r="D29" s="17" t="n">
        <x:v>0.9</x:v>
      </x:c>
      <x:c r="E29" s="17" t="n">
        <x:v>0.9</x:v>
      </x:c>
      <x:c r="F29" s="17" t="n">
        <x:v>0.9</x:v>
      </x:c>
      <x:c r="G29" s="17" t="n">
        <x:v>0.9</x:v>
      </x:c>
      <x:c r="H29" s="17" t="n">
        <x:v>0.9</x:v>
      </x:c>
      <x:c r="I29" s="17" t="n">
        <x:v>0.9</x:v>
      </x:c>
      <x:c r="J29" s="17" t="n">
        <x:v>0.9</x:v>
      </x:c>
      <x:c r="K29" s="1"/>
      <x:c r="L29" s="10"/>
      <x:c r="M29" s="1"/>
    </x:row>
    <x:row r="30" ht="22" customHeight="1">
      <x:c r="A30" s="1"/>
      <x:c r="B30" s="1"/>
      <x:c r="C30" s="1" t="str">
        <x:v>Upside</x:v>
      </x:c>
      <x:c r="D30" s="17" t="n">
        <x:v>0.97</x:v>
      </x:c>
      <x:c r="E30" s="17" t="n">
        <x:v>0.97</x:v>
      </x:c>
      <x:c r="F30" s="17" t="n">
        <x:v>0.97</x:v>
      </x:c>
      <x:c r="G30" s="17" t="n">
        <x:v>0.97</x:v>
      </x:c>
      <x:c r="H30" s="17" t="n">
        <x:v>0.97</x:v>
      </x:c>
      <x:c r="I30" s="17" t="n">
        <x:v>0.97</x:v>
      </x:c>
      <x:c r="J30" s="17" t="n">
        <x:v>0.97</x:v>
      </x:c>
      <x:c r="K30" s="1"/>
      <x:c r="L30" s="10"/>
      <x:c r="M30" s="1"/>
    </x:row>
    <x:row r="31" ht="22" customHeight="1">
      <x:c r="A31" s="1"/>
      <x:c r="B31" s="1"/>
      <x:c r="C31" s="1"/>
      <x:c r="D31" s="6"/>
      <x:c r="E31" s="6"/>
      <x:c r="F31" s="6"/>
      <x:c r="G31" s="6"/>
      <x:c r="H31" s="6"/>
      <x:c r="I31" s="6"/>
      <x:c r="J31" s="6"/>
      <x:c r="K31" s="1"/>
      <x:c r="L31" s="10"/>
      <x:c r="M31" s="1"/>
    </x:row>
    <x:row r="32" ht="22" customHeight="1">
      <x:c r="A32" s="1"/>
      <x:c r="B32" s="1"/>
      <x:c r="C32" s="4" t="str">
        <x:v>Service price multiplier / active</x:v>
      </x:c>
      <x:c r="D32" s="15" t="n">
        <x:f>IF($D$3="Base",D33,IF($D$3="Downside",D34,D35))</x:f>
        <x:v>1</x:v>
      </x:c>
      <x:c r="E32" s="15" t="n">
        <x:f>IF($D$3="Base",E33,IF($D$3="Downside",E34,E35))</x:f>
        <x:v>1</x:v>
      </x:c>
      <x:c r="F32" s="15" t="n">
        <x:f>IF($D$3="Base",F33,IF($D$3="Downside",F34,F35))</x:f>
        <x:v>1</x:v>
      </x:c>
      <x:c r="G32" s="15" t="n">
        <x:f>IF($D$3="Base",G33,IF($D$3="Downside",G34,G35))</x:f>
        <x:v>1</x:v>
      </x:c>
      <x:c r="H32" s="15" t="n">
        <x:f>IF($D$3="Base",H33,IF($D$3="Downside",H34,H35))</x:f>
        <x:v>1</x:v>
      </x:c>
      <x:c r="I32" s="15" t="n">
        <x:f>IF($D$3="Base",I33,IF($D$3="Downside",I34,I35))</x:f>
        <x:v>1</x:v>
      </x:c>
      <x:c r="J32" s="15" t="n">
        <x:f>IF($D$3="Base",J33,IF($D$3="Downside",J34,J35))</x:f>
        <x:v>1</x:v>
      </x:c>
      <x:c r="K32" s="1"/>
      <x:c r="L32" s="10" t="str">
        <x:v>Service mix builds weighted prices from category, neighborhood, property and escalation. Downside stresses prices 15% above the common mix. No customer tax or tips assumed.</x:v>
      </x:c>
      <x:c r="M32" s="1"/>
    </x:row>
    <x:row r="33" ht="22" customHeight="1">
      <x:c r="A33" s="1"/>
      <x:c r="B33" s="1"/>
      <x:c r="C33" s="1" t="str">
        <x:v>Base</x:v>
      </x:c>
      <x:c r="D33" s="14" t="n">
        <x:v>1</x:v>
      </x:c>
      <x:c r="E33" s="14" t="n">
        <x:v>1</x:v>
      </x:c>
      <x:c r="F33" s="14" t="n">
        <x:v>1</x:v>
      </x:c>
      <x:c r="G33" s="14" t="n">
        <x:v>1</x:v>
      </x:c>
      <x:c r="H33" s="14" t="n">
        <x:v>1</x:v>
      </x:c>
      <x:c r="I33" s="14" t="n">
        <x:v>1</x:v>
      </x:c>
      <x:c r="J33" s="14" t="n">
        <x:v>1</x:v>
      </x:c>
      <x:c r="K33" s="1"/>
      <x:c r="L33" s="10"/>
      <x:c r="M33" s="1"/>
    </x:row>
    <x:row r="34" ht="22" customHeight="1">
      <x:c r="A34" s="1"/>
      <x:c r="B34" s="1"/>
      <x:c r="C34" s="1" t="str">
        <x:v>Downside</x:v>
      </x:c>
      <x:c r="D34" s="14" t="n">
        <x:v>1.15</x:v>
      </x:c>
      <x:c r="E34" s="14" t="n">
        <x:v>1.15</x:v>
      </x:c>
      <x:c r="F34" s="14" t="n">
        <x:v>1.15</x:v>
      </x:c>
      <x:c r="G34" s="14" t="n">
        <x:v>1.15</x:v>
      </x:c>
      <x:c r="H34" s="14" t="n">
        <x:v>1.15</x:v>
      </x:c>
      <x:c r="I34" s="14" t="n">
        <x:v>1.15</x:v>
      </x:c>
      <x:c r="J34" s="14" t="n">
        <x:v>1.15</x:v>
      </x:c>
      <x:c r="K34" s="1"/>
      <x:c r="L34" s="10"/>
      <x:c r="M34" s="1"/>
    </x:row>
    <x:row r="35" ht="22" customHeight="1">
      <x:c r="A35" s="1"/>
      <x:c r="B35" s="1"/>
      <x:c r="C35" s="1" t="str">
        <x:v>Upside</x:v>
      </x:c>
      <x:c r="D35" s="14" t="n">
        <x:v>1</x:v>
      </x:c>
      <x:c r="E35" s="14" t="n">
        <x:v>1</x:v>
      </x:c>
      <x:c r="F35" s="14" t="n">
        <x:v>1</x:v>
      </x:c>
      <x:c r="G35" s="14" t="n">
        <x:v>1</x:v>
      </x:c>
      <x:c r="H35" s="14" t="n">
        <x:v>1</x:v>
      </x:c>
      <x:c r="I35" s="14" t="n">
        <x:v>1</x:v>
      </x:c>
      <x:c r="J35" s="14" t="n">
        <x:v>1</x:v>
      </x:c>
      <x:c r="K35" s="1"/>
      <x:c r="L35" s="10"/>
      <x:c r="M35" s="1"/>
    </x:row>
    <x:row r="36" ht="22" customHeight="1">
      <x:c r="A36" s="1"/>
      <x:c r="B36" s="1"/>
      <x:c r="C36" s="1"/>
      <x:c r="D36" s="6"/>
      <x:c r="E36" s="6"/>
      <x:c r="F36" s="6"/>
      <x:c r="G36" s="6"/>
      <x:c r="H36" s="6"/>
      <x:c r="I36" s="6"/>
      <x:c r="J36" s="6"/>
      <x:c r="K36" s="1"/>
      <x:c r="L36" s="10"/>
      <x:c r="M36" s="1"/>
    </x:row>
    <x:row r="37" ht="22" customHeight="1">
      <x:c r="A37" s="1"/>
      <x:c r="B37" s="1"/>
      <x:c r="C37" s="4" t="str">
        <x:v>Service payments processed by YardMatch / active</x:v>
      </x:c>
      <x:c r="D37" s="18" t="n">
        <x:f>IF($D$3="Base",D38,IF($D$3="Downside",D39,D40))</x:f>
        <x:v>0</x:v>
      </x:c>
      <x:c r="E37" s="18" t="n">
        <x:f>IF($D$3="Base",E38,IF($D$3="Downside",E39,E40))</x:f>
        <x:v>0</x:v>
      </x:c>
      <x:c r="F37" s="18" t="n">
        <x:f>IF($D$3="Base",F38,IF($D$3="Downside",F39,F40))</x:f>
        <x:v>0</x:v>
      </x:c>
      <x:c r="G37" s="18" t="n">
        <x:f>IF($D$3="Base",G38,IF($D$3="Downside",G39,G40))</x:f>
        <x:v>0</x:v>
      </x:c>
      <x:c r="H37" s="18" t="n">
        <x:f>IF($D$3="Base",H38,IF($D$3="Downside",H39,H40))</x:f>
        <x:v>0</x:v>
      </x:c>
      <x:c r="I37" s="18" t="n">
        <x:f>IF($D$3="Base",I38,IF($D$3="Downside",I39,I40))</x:f>
        <x:v>0</x:v>
      </x:c>
      <x:c r="J37" s="18" t="n">
        <x:f>IF($D$3="Base",J38,IF($D$3="Downside",J39,J40))</x:f>
        <x:v>0</x:v>
      </x:c>
      <x:c r="K37" s="1"/>
      <x:c r="L37" s="10" t="str">
        <x:v>Selected model: customers pay providers directly. YardMatch does not process service payments or issue provider payouts.</x:v>
      </x:c>
      <x:c r="M37" s="1"/>
    </x:row>
    <x:row r="38" ht="22" customHeight="1">
      <x:c r="A38" s="1"/>
      <x:c r="B38" s="1"/>
      <x:c r="C38" s="1" t="str">
        <x:v>Base</x:v>
      </x:c>
      <x:c r="D38" s="17" t="n">
        <x:v>0</x:v>
      </x:c>
      <x:c r="E38" s="17" t="n">
        <x:v>0</x:v>
      </x:c>
      <x:c r="F38" s="17" t="n">
        <x:v>0</x:v>
      </x:c>
      <x:c r="G38" s="17" t="n">
        <x:v>0</x:v>
      </x:c>
      <x:c r="H38" s="17" t="n">
        <x:v>0</x:v>
      </x:c>
      <x:c r="I38" s="17" t="n">
        <x:v>0</x:v>
      </x:c>
      <x:c r="J38" s="17" t="n">
        <x:v>0</x:v>
      </x:c>
      <x:c r="K38" s="1"/>
      <x:c r="L38" s="10"/>
      <x:c r="M38" s="1"/>
    </x:row>
    <x:row r="39" ht="22" customHeight="1">
      <x:c r="A39" s="1"/>
      <x:c r="B39" s="1"/>
      <x:c r="C39" s="1" t="str">
        <x:v>Downside</x:v>
      </x:c>
      <x:c r="D39" s="17" t="n">
        <x:v>0</x:v>
      </x:c>
      <x:c r="E39" s="17" t="n">
        <x:v>0</x:v>
      </x:c>
      <x:c r="F39" s="17" t="n">
        <x:v>0</x:v>
      </x:c>
      <x:c r="G39" s="17" t="n">
        <x:v>0</x:v>
      </x:c>
      <x:c r="H39" s="17" t="n">
        <x:v>0</x:v>
      </x:c>
      <x:c r="I39" s="17" t="n">
        <x:v>0</x:v>
      </x:c>
      <x:c r="J39" s="17" t="n">
        <x:v>0</x:v>
      </x:c>
      <x:c r="K39" s="1"/>
      <x:c r="L39" s="10"/>
      <x:c r="M39" s="1"/>
    </x:row>
    <x:row r="40" ht="22" customHeight="1">
      <x:c r="A40" s="1"/>
      <x:c r="B40" s="1"/>
      <x:c r="C40" s="1" t="str">
        <x:v>Upside</x:v>
      </x:c>
      <x:c r="D40" s="17" t="n">
        <x:v>0</x:v>
      </x:c>
      <x:c r="E40" s="17" t="n">
        <x:v>0</x:v>
      </x:c>
      <x:c r="F40" s="17" t="n">
        <x:v>0</x:v>
      </x:c>
      <x:c r="G40" s="17" t="n">
        <x:v>0</x:v>
      </x:c>
      <x:c r="H40" s="17" t="n">
        <x:v>0</x:v>
      </x:c>
      <x:c r="I40" s="17" t="n">
        <x:v>0</x:v>
      </x:c>
      <x:c r="J40" s="17" t="n">
        <x:v>0</x:v>
      </x:c>
      <x:c r="K40" s="1"/>
      <x:c r="L40" s="10"/>
      <x:c r="M40" s="1"/>
    </x:row>
    <x:row r="41" ht="22" customHeight="1">
      <x:c r="A41" s="1"/>
      <x:c r="B41" s="1"/>
      <x:c r="C41" s="1"/>
      <x:c r="D41" s="6"/>
      <x:c r="E41" s="6"/>
      <x:c r="F41" s="6"/>
      <x:c r="G41" s="6"/>
      <x:c r="H41" s="6"/>
      <x:c r="I41" s="6"/>
      <x:c r="J41" s="6"/>
      <x:c r="K41" s="1"/>
      <x:c r="L41" s="10"/>
      <x:c r="M41" s="1"/>
    </x:row>
    <x:row r="42" ht="22" customHeight="1">
      <x:c r="A42" s="1"/>
      <x:c r="B42" s="1"/>
      <x:c r="C42" s="4" t="str">
        <x:v>Customer CAC / national rollout</x:v>
      </x:c>
      <x:c r="D42" s="54" t="n">
        <x:f>'National rollout'!D40</x:f>
        <x:v>55</x:v>
      </x:c>
      <x:c r="E42" s="54" t="n">
        <x:f>'National rollout'!E40</x:f>
        <x:v>50</x:v>
      </x:c>
      <x:c r="F42" s="54" t="n">
        <x:f>'National rollout'!F40</x:f>
        <x:v>45</x:v>
      </x:c>
      <x:c r="G42" s="54" t="n">
        <x:f>'National rollout'!G40</x:f>
        <x:v>40</x:v>
      </x:c>
      <x:c r="H42" s="54" t="n">
        <x:f>'National rollout'!H40</x:f>
        <x:v>35</x:v>
      </x:c>
      <x:c r="I42" s="54" t="n">
        <x:f>'National rollout'!I40</x:f>
        <x:v>32</x:v>
      </x:c>
      <x:c r="J42" s="54" t="n">
        <x:f>'National rollout'!J40</x:f>
        <x:v>30</x:v>
      </x:c>
      <x:c r="K42" s="1"/>
      <x:c r="L42" s="10" t="str">
        <x:v>Formula from National rollout. Change footprint, cohort, staffing and cost assumptions on that sheet.</x:v>
      </x:c>
      <x:c r="M42" s="1"/>
    </x:row>
    <x:row r="43" ht="22" customHeight="1">
      <x:c r="A43" s="1"/>
      <x:c r="B43" s="1"/>
      <x:c r="C43" s="1"/>
      <x:c r="D43" s="23"/>
      <x:c r="E43" s="23"/>
      <x:c r="F43" s="23"/>
      <x:c r="G43" s="23"/>
      <x:c r="H43" s="23"/>
      <x:c r="I43" s="23"/>
      <x:c r="J43" s="23"/>
      <x:c r="K43" s="1"/>
      <x:c r="L43" s="10"/>
      <x:c r="M43" s="1"/>
    </x:row>
    <x:row r="44" ht="22" customHeight="1">
      <x:c r="A44" s="1"/>
      <x:c r="B44" s="1"/>
      <x:c r="C44" s="1"/>
      <x:c r="D44" s="23"/>
      <x:c r="E44" s="23"/>
      <x:c r="F44" s="23"/>
      <x:c r="G44" s="23"/>
      <x:c r="H44" s="23"/>
      <x:c r="I44" s="23"/>
      <x:c r="J44" s="23"/>
      <x:c r="K44" s="1"/>
      <x:c r="L44" s="10"/>
      <x:c r="M44" s="1"/>
    </x:row>
    <x:row r="45" ht="22" customHeight="1">
      <x:c r="A45" s="1"/>
      <x:c r="B45" s="1"/>
      <x:c r="C45" s="1"/>
      <x:c r="D45" s="23"/>
      <x:c r="E45" s="23"/>
      <x:c r="F45" s="23"/>
      <x:c r="G45" s="23"/>
      <x:c r="H45" s="23"/>
      <x:c r="I45" s="23"/>
      <x:c r="J45" s="23"/>
      <x:c r="K45" s="1"/>
      <x:c r="L45" s="10"/>
      <x:c r="M45" s="1"/>
    </x:row>
    <x:row r="46" ht="22" customHeight="1">
      <x:c r="A46" s="1"/>
      <x:c r="B46" s="1"/>
      <x:c r="C46" s="1"/>
      <x:c r="D46" s="6"/>
      <x:c r="E46" s="6"/>
      <x:c r="F46" s="6"/>
      <x:c r="G46" s="6"/>
      <x:c r="H46" s="6"/>
      <x:c r="I46" s="6"/>
      <x:c r="J46" s="6"/>
      <x:c r="K46" s="1"/>
      <x:c r="L46" s="10"/>
      <x:c r="M46" s="1"/>
    </x:row>
    <x:row r="47" ht="22" customHeight="1">
      <x:c r="A47" s="1"/>
      <x:c r="B47" s="1"/>
      <x:c r="C47" s="4" t="str">
        <x:v>Employees / national rollout</x:v>
      </x:c>
      <x:c r="D47" s="58" t="n">
        <x:f>'National rollout'!D45</x:f>
        <x:v>3</x:v>
      </x:c>
      <x:c r="E47" s="58" t="n">
        <x:f>'National rollout'!E45</x:f>
        <x:v>5</x:v>
      </x:c>
      <x:c r="F47" s="58" t="n">
        <x:f>'National rollout'!F45</x:f>
        <x:v>8</x:v>
      </x:c>
      <x:c r="G47" s="58" t="n">
        <x:f>'National rollout'!G45</x:f>
        <x:v>15</x:v>
      </x:c>
      <x:c r="H47" s="58" t="n">
        <x:f>'National rollout'!H45</x:f>
        <x:v>25</x:v>
      </x:c>
      <x:c r="I47" s="58" t="n">
        <x:f>'National rollout'!I45</x:f>
        <x:v>40</x:v>
      </x:c>
      <x:c r="J47" s="58" t="n">
        <x:f>'National rollout'!J45</x:f>
        <x:v>60</x:v>
      </x:c>
      <x:c r="K47" s="1"/>
      <x:c r="L47" s="10" t="str">
        <x:v>Formula from National rollout. Change footprint, cohort, staffing and cost assumptions on that sheet.</x:v>
      </x:c>
      <x:c r="M47" s="1"/>
    </x:row>
    <x:row r="48" ht="22" customHeight="1">
      <x:c r="A48" s="1"/>
      <x:c r="B48" s="1"/>
      <x:c r="C48" s="1"/>
      <x:c r="D48" s="20"/>
      <x:c r="E48" s="20"/>
      <x:c r="F48" s="20"/>
      <x:c r="G48" s="20"/>
      <x:c r="H48" s="20"/>
      <x:c r="I48" s="20"/>
      <x:c r="J48" s="20"/>
      <x:c r="K48" s="1"/>
      <x:c r="L48" s="10"/>
      <x:c r="M48" s="1"/>
    </x:row>
    <x:row r="49" ht="22" customHeight="1">
      <x:c r="A49" s="1"/>
      <x:c r="B49" s="1"/>
      <x:c r="C49" s="1"/>
      <x:c r="D49" s="20"/>
      <x:c r="E49" s="20"/>
      <x:c r="F49" s="20"/>
      <x:c r="G49" s="20"/>
      <x:c r="H49" s="20"/>
      <x:c r="I49" s="20"/>
      <x:c r="J49" s="20"/>
      <x:c r="K49" s="1"/>
      <x:c r="L49" s="10"/>
      <x:c r="M49" s="1"/>
    </x:row>
    <x:row r="50" ht="22" customHeight="1">
      <x:c r="A50" s="1"/>
      <x:c r="B50" s="1"/>
      <x:c r="C50" s="1"/>
      <x:c r="D50" s="20"/>
      <x:c r="E50" s="20"/>
      <x:c r="F50" s="20"/>
      <x:c r="G50" s="20"/>
      <x:c r="H50" s="20"/>
      <x:c r="I50" s="20"/>
      <x:c r="J50" s="20"/>
      <x:c r="K50" s="1"/>
      <x:c r="L50" s="10"/>
      <x:c r="M50" s="1"/>
    </x:row>
    <x:row r="51" ht="22" customHeight="1">
      <x:c r="A51" s="1"/>
      <x:c r="B51" s="1"/>
      <x:c r="C51" s="1"/>
      <x:c r="D51" s="6"/>
      <x:c r="E51" s="6"/>
      <x:c r="F51" s="6"/>
      <x:c r="G51" s="6"/>
      <x:c r="H51" s="6"/>
      <x:c r="I51" s="6"/>
      <x:c r="J51" s="6"/>
      <x:c r="K51" s="1"/>
      <x:c r="L51" s="10"/>
      <x:c r="M51" s="1"/>
    </x:row>
    <x:row r="52" ht="22" customHeight="1">
      <x:c r="A52" s="1"/>
      <x:c r="B52" s="1"/>
      <x:c r="C52" s="4" t="str">
        <x:v>Fully loaded annual cost / employee / active</x:v>
      </x:c>
      <x:c r="D52" s="24" t="n">
        <x:f>IF($D$3="Base",D53,IF($D$3="Downside",D54,D55))</x:f>
        <x:v>100000</x:v>
      </x:c>
      <x:c r="E52" s="24" t="n">
        <x:f>IF($D$3="Base",E53,IF($D$3="Downside",E54,E55))</x:f>
        <x:v>101666.66666666667</x:v>
      </x:c>
      <x:c r="F52" s="24" t="n">
        <x:f>IF($D$3="Base",F53,IF($D$3="Downside",F54,F55))</x:f>
        <x:v>103333.33333333333</x:v>
      </x:c>
      <x:c r="G52" s="24" t="n">
        <x:f>IF($D$3="Base",G53,IF($D$3="Downside",G54,G55))</x:f>
        <x:v>105000</x:v>
      </x:c>
      <x:c r="H52" s="24" t="n">
        <x:f>IF($D$3="Base",H53,IF($D$3="Downside",H54,H55))</x:f>
        <x:v>106666.66666666667</x:v>
      </x:c>
      <x:c r="I52" s="24" t="n">
        <x:f>IF($D$3="Base",I53,IF($D$3="Downside",I54,I55))</x:f>
        <x:v>108333.33333333333</x:v>
      </x:c>
      <x:c r="J52" s="24" t="n">
        <x:f>IF($D$3="Base",J53,IF($D$3="Downside",J54,J55))</x:f>
        <x:v>110000</x:v>
      </x:c>
      <x:c r="K52" s="1"/>
      <x:c r="L52" s="10" t="str">
        <x:v>Option 1 planning budget: average loaded cost increases from $100,000 in 2027 to $110,000 in 2033, including founder pay, taxes and benefits. Five staff cost $550,000 in 2033. Roles and compensation need validation; variable support vendors remain separate.</x:v>
      </x:c>
      <x:c r="M52" s="1"/>
    </x:row>
    <x:row r="53" ht="22" customHeight="1">
      <x:c r="A53" s="1"/>
      <x:c r="B53" s="1"/>
      <x:c r="C53" s="1" t="str">
        <x:v>Base</x:v>
      </x:c>
      <x:c r="D53" s="23" t="n">
        <x:v>100000</x:v>
      </x:c>
      <x:c r="E53" s="23" t="n">
        <x:v>101666.66666666667</x:v>
      </x:c>
      <x:c r="F53" s="23" t="n">
        <x:v>103333.33333333333</x:v>
      </x:c>
      <x:c r="G53" s="23" t="n">
        <x:v>105000</x:v>
      </x:c>
      <x:c r="H53" s="23" t="n">
        <x:v>106666.66666666667</x:v>
      </x:c>
      <x:c r="I53" s="23" t="n">
        <x:v>108333.33333333333</x:v>
      </x:c>
      <x:c r="J53" s="23" t="n">
        <x:v>110000</x:v>
      </x:c>
      <x:c r="K53" s="1"/>
      <x:c r="L53" s="10"/>
      <x:c r="M53" s="1"/>
    </x:row>
    <x:row r="54" ht="22" customHeight="1">
      <x:c r="A54" s="1"/>
      <x:c r="B54" s="1"/>
      <x:c r="C54" s="1" t="str">
        <x:v>Downside</x:v>
      </x:c>
      <x:c r="D54" s="23" t="n">
        <x:v>100000</x:v>
      </x:c>
      <x:c r="E54" s="23" t="n">
        <x:v>101666.66666666667</x:v>
      </x:c>
      <x:c r="F54" s="23" t="n">
        <x:v>103333.33333333333</x:v>
      </x:c>
      <x:c r="G54" s="23" t="n">
        <x:v>105000</x:v>
      </x:c>
      <x:c r="H54" s="23" t="n">
        <x:v>106666.66666666667</x:v>
      </x:c>
      <x:c r="I54" s="23" t="n">
        <x:v>108333.33333333333</x:v>
      </x:c>
      <x:c r="J54" s="23" t="n">
        <x:v>110000</x:v>
      </x:c>
      <x:c r="K54" s="1"/>
      <x:c r="L54" s="10"/>
      <x:c r="M54" s="1"/>
    </x:row>
    <x:row r="55" ht="22" customHeight="1">
      <x:c r="A55" s="1"/>
      <x:c r="B55" s="1"/>
      <x:c r="C55" s="1" t="str">
        <x:v>Upside</x:v>
      </x:c>
      <x:c r="D55" s="23" t="n">
        <x:v>100000</x:v>
      </x:c>
      <x:c r="E55" s="23" t="n">
        <x:v>101666.66666666667</x:v>
      </x:c>
      <x:c r="F55" s="23" t="n">
        <x:v>103333.33333333333</x:v>
      </x:c>
      <x:c r="G55" s="23" t="n">
        <x:v>105000</x:v>
      </x:c>
      <x:c r="H55" s="23" t="n">
        <x:v>106666.66666666667</x:v>
      </x:c>
      <x:c r="I55" s="23" t="n">
        <x:v>108333.33333333333</x:v>
      </x:c>
      <x:c r="J55" s="23" t="n">
        <x:v>110000</x:v>
      </x:c>
      <x:c r="K55" s="1"/>
      <x:c r="L55" s="10"/>
      <x:c r="M55" s="1"/>
    </x:row>
    <x:row r="56" ht="22" customHeight="1">
      <x:c r="A56" s="1"/>
      <x:c r="B56" s="1"/>
      <x:c r="C56" s="1"/>
      <x:c r="D56" s="6"/>
      <x:c r="E56" s="6"/>
      <x:c r="F56" s="6"/>
      <x:c r="G56" s="6"/>
      <x:c r="H56" s="6"/>
      <x:c r="I56" s="6"/>
      <x:c r="J56" s="6"/>
      <x:c r="K56" s="1"/>
      <x:c r="L56" s="10"/>
      <x:c r="M56" s="1"/>
    </x:row>
    <x:row r="57" ht="22" customHeight="1">
      <x:c r="A57" s="1"/>
      <x:c r="B57" s="1"/>
      <x:c r="C57" s="4" t="str">
        <x:v>Corporate overhead / national rollout</x:v>
      </x:c>
      <x:c r="D57" s="54" t="n">
        <x:f>'National rollout'!D50</x:f>
        <x:v>42000</x:v>
      </x:c>
      <x:c r="E57" s="54" t="n">
        <x:f>'National rollout'!E50</x:f>
        <x:v>70000</x:v>
      </x:c>
      <x:c r="F57" s="54" t="n">
        <x:f>'National rollout'!F50</x:f>
        <x:v>120000</x:v>
      </x:c>
      <x:c r="G57" s="54" t="n">
        <x:f>'National rollout'!G50</x:f>
        <x:v>200000</x:v>
      </x:c>
      <x:c r="H57" s="54" t="n">
        <x:f>'National rollout'!H50</x:f>
        <x:v>300000</x:v>
      </x:c>
      <x:c r="I57" s="54" t="n">
        <x:f>'National rollout'!I50</x:f>
        <x:v>420000</x:v>
      </x:c>
      <x:c r="J57" s="54" t="n">
        <x:f>'National rollout'!J50</x:f>
        <x:v>550000</x:v>
      </x:c>
      <x:c r="K57" s="1"/>
      <x:c r="L57" s="10" t="str">
        <x:v>Formula from National rollout. Change footprint, cohort, staffing and cost assumptions on that sheet.</x:v>
      </x:c>
      <x:c r="M57" s="1"/>
    </x:row>
    <x:row r="58" ht="22" customHeight="1">
      <x:c r="A58" s="1"/>
      <x:c r="B58" s="1"/>
      <x:c r="C58" s="1"/>
      <x:c r="D58" s="23"/>
      <x:c r="E58" s="23"/>
      <x:c r="F58" s="23"/>
      <x:c r="G58" s="23"/>
      <x:c r="H58" s="23"/>
      <x:c r="I58" s="23"/>
      <x:c r="J58" s="23"/>
      <x:c r="K58" s="1"/>
      <x:c r="L58" s="10"/>
      <x:c r="M58" s="1"/>
    </x:row>
    <x:row r="59" ht="22" customHeight="1">
      <x:c r="A59" s="1"/>
      <x:c r="B59" s="1"/>
      <x:c r="C59" s="1"/>
      <x:c r="D59" s="23"/>
      <x:c r="E59" s="23"/>
      <x:c r="F59" s="23"/>
      <x:c r="G59" s="23"/>
      <x:c r="H59" s="23"/>
      <x:c r="I59" s="23"/>
      <x:c r="J59" s="23"/>
      <x:c r="K59" s="1"/>
      <x:c r="L59" s="10"/>
      <x:c r="M59" s="1"/>
    </x:row>
    <x:row r="60" ht="22" customHeight="1">
      <x:c r="A60" s="1"/>
      <x:c r="B60" s="1"/>
      <x:c r="C60" s="1"/>
      <x:c r="D60" s="23"/>
      <x:c r="E60" s="23"/>
      <x:c r="F60" s="23"/>
      <x:c r="G60" s="23"/>
      <x:c r="H60" s="23"/>
      <x:c r="I60" s="23"/>
      <x:c r="J60" s="23"/>
      <x:c r="K60" s="1"/>
      <x:c r="L60" s="10"/>
      <x:c r="M60" s="1"/>
    </x:row>
    <x:row r="61" ht="22" customHeight="1">
      <x:c r="A61" s="1"/>
      <x:c r="B61" s="1"/>
      <x:c r="C61" s="1"/>
      <x:c r="D61" s="6"/>
      <x:c r="E61" s="6"/>
      <x:c r="F61" s="6"/>
      <x:c r="G61" s="6"/>
      <x:c r="H61" s="6"/>
      <x:c r="I61" s="6"/>
      <x:c r="J61" s="6"/>
      <x:c r="K61" s="1"/>
      <x:c r="L61" s="10"/>
      <x:c r="M61" s="1"/>
    </x:row>
    <x:row r="62" ht="22" customHeight="1">
      <x:c r="A62" s="1"/>
      <x:c r="B62" s="1"/>
      <x:c r="C62" s="4" t="str">
        <x:v>Equipment / national staffing</x:v>
      </x:c>
      <x:c r="D62" s="54" t="n">
        <x:f>'National rollout'!D81</x:f>
        <x:v>15000</x:v>
      </x:c>
      <x:c r="E62" s="54" t="n">
        <x:f>'National rollout'!E81</x:f>
        <x:v>25000</x:v>
      </x:c>
      <x:c r="F62" s="54" t="n">
        <x:f>'National rollout'!F81</x:f>
        <x:v>40000</x:v>
      </x:c>
      <x:c r="G62" s="54" t="n">
        <x:f>'National rollout'!G81</x:f>
        <x:v>75000</x:v>
      </x:c>
      <x:c r="H62" s="54" t="n">
        <x:f>'National rollout'!H81</x:f>
        <x:v>125000</x:v>
      </x:c>
      <x:c r="I62" s="54" t="n">
        <x:f>'National rollout'!I81</x:f>
        <x:v>200000</x:v>
      </x:c>
      <x:c r="J62" s="54" t="n">
        <x:f>'National rollout'!J81</x:f>
        <x:v>300000</x:v>
      </x:c>
      <x:c r="K62" s="1"/>
      <x:c r="L62" s="10" t="str">
        <x:v>Formula from National rollout. Change footprint, cohort, staffing and cost assumptions on that sheet.</x:v>
      </x:c>
      <x:c r="M62" s="1"/>
    </x:row>
    <x:row r="63" ht="22" customHeight="1">
      <x:c r="A63" s="1"/>
      <x:c r="B63" s="1"/>
      <x:c r="C63" s="1"/>
      <x:c r="D63" s="23"/>
      <x:c r="E63" s="23"/>
      <x:c r="F63" s="23"/>
      <x:c r="G63" s="23"/>
      <x:c r="H63" s="23"/>
      <x:c r="I63" s="23"/>
      <x:c r="J63" s="23"/>
      <x:c r="K63" s="1"/>
      <x:c r="L63" s="10"/>
      <x:c r="M63" s="1"/>
    </x:row>
    <x:row r="64" ht="22" customHeight="1">
      <x:c r="A64" s="1"/>
      <x:c r="B64" s="1"/>
      <x:c r="C64" s="1"/>
      <x:c r="D64" s="23"/>
      <x:c r="E64" s="23"/>
      <x:c r="F64" s="23"/>
      <x:c r="G64" s="23"/>
      <x:c r="H64" s="23"/>
      <x:c r="I64" s="23"/>
      <x:c r="J64" s="23"/>
      <x:c r="K64" s="1"/>
      <x:c r="L64" s="10"/>
      <x:c r="M64" s="1"/>
    </x:row>
    <x:row r="65" ht="22" customHeight="1">
      <x:c r="A65" s="1"/>
      <x:c r="B65" s="1"/>
      <x:c r="C65" s="1"/>
      <x:c r="D65" s="23"/>
      <x:c r="E65" s="23"/>
      <x:c r="F65" s="23"/>
      <x:c r="G65" s="23"/>
      <x:c r="H65" s="23"/>
      <x:c r="I65" s="23"/>
      <x:c r="J65" s="23"/>
      <x:c r="K65" s="1"/>
      <x:c r="L65" s="10"/>
      <x:c r="M65" s="1"/>
    </x:row>
    <x:row r="66" ht="22" customHeight="1">
      <x:c r="A66" s="1"/>
      <x:c r="B66" s="1"/>
      <x:c r="C66" s="1"/>
      <x:c r="D66" s="6"/>
      <x:c r="E66" s="6"/>
      <x:c r="F66" s="6"/>
      <x:c r="G66" s="6"/>
      <x:c r="H66" s="6"/>
      <x:c r="I66" s="6"/>
      <x:c r="J66" s="6"/>
      <x:c r="K66" s="1"/>
      <x:c r="L66" s="10"/>
      <x:c r="M66" s="1"/>
    </x:row>
    <x:row r="67" ht="22" customHeight="1">
      <x:c r="A67" s="1"/>
      <x:c r="B67" s="1"/>
      <x:c r="C67" s="1"/>
      <x:c r="D67" s="6"/>
      <x:c r="E67" s="6"/>
      <x:c r="F67" s="6"/>
      <x:c r="G67" s="6"/>
      <x:c r="H67" s="6"/>
      <x:c r="I67" s="6"/>
      <x:c r="J67" s="6"/>
      <x:c r="K67" s="1"/>
      <x:c r="L67" s="10"/>
      <x:c r="M67" s="1"/>
    </x:row>
    <x:row r="68" ht="22" customHeight="1">
      <x:c r="A68" s="1"/>
      <x:c r="B68" s="1"/>
      <x:c r="C68" s="5" t="str">
        <x:v>Shared assumptions</x:v>
      </x:c>
      <x:c r="D68" s="26"/>
      <x:c r="E68" s="26"/>
      <x:c r="F68" s="26"/>
      <x:c r="G68" s="26"/>
      <x:c r="H68" s="26"/>
      <x:c r="I68" s="26"/>
      <x:c r="J68" s="26"/>
      <x:c r="K68" s="1"/>
      <x:c r="L68" s="10"/>
      <x:c r="M68" s="1"/>
    </x:row>
    <x:row r="69" ht="22" customHeight="1">
      <x:c r="A69" s="1"/>
      <x:c r="B69" s="1"/>
      <x:c r="C69" s="1" t="str">
        <x:v>Finder fee / typical property</x:v>
      </x:c>
      <x:c r="D69" s="27" t="n">
        <x:v>75</x:v>
      </x:c>
      <x:c r="E69" s="6"/>
      <x:c r="F69" s="6"/>
      <x:c r="G69" s="6"/>
      <x:c r="H69" s="6"/>
      <x:c r="I69" s="6"/>
      <x:c r="J69" s="6"/>
      <x:c r="K69" s="1"/>
      <x:c r="L69" s="10" t="str">
        <x:v>Selected planning price. One fee per customer/provider pair, after first paid completed job.</x:v>
      </x:c>
      <x:c r="M69" s="1"/>
    </x:row>
    <x:row r="70" ht="22" customHeight="1">
      <x:c r="A70" s="1"/>
      <x:c r="B70" s="1"/>
      <x:c r="C70" s="1" t="str">
        <x:v>Minimum platform fee / paid service</x:v>
      </x:c>
      <x:c r="D70" s="27" t="n">
        <x:v>0</x:v>
      </x:c>
      <x:c r="E70" s="6"/>
      <x:c r="F70" s="6"/>
      <x:c r="G70" s="6"/>
      <x:c r="H70" s="6"/>
      <x:c r="I70" s="6"/>
      <x:c r="J70" s="6"/>
      <x:c r="K70" s="1"/>
      <x:c r="L70" s="10" t="str">
        <x:v>Selected acquisition-first model: no recurring YardMatch fee. Providers cover payment processing at cost when they use in-app payments. Prior mode reproduces the flat $2.99 inclusive model.</x:v>
      </x:c>
      <x:c r="M70" s="1"/>
    </x:row>
    <x:row r="71" ht="22" customHeight="1">
      <x:c r="A71" s="1"/>
      <x:c r="B71" s="1"/>
      <x:c r="C71" s="1" t="str">
        <x:v>New household season exposure</x:v>
      </x:c>
      <x:c r="D71" s="17" t="n">
        <x:v>0.5</x:v>
      </x:c>
      <x:c r="E71" s="6"/>
      <x:c r="F71" s="6"/>
      <x:c r="G71" s="6"/>
      <x:c r="H71" s="6"/>
      <x:c r="I71" s="6"/>
      <x:c r="J71" s="6"/>
      <x:c r="K71" s="1"/>
      <x:c r="L71" s="10" t="str">
        <x:v>Mid-season acquisition. Retained households participate for a full season.</x:v>
      </x:c>
      <x:c r="M71" s="1"/>
    </x:row>
    <x:row r="72" ht="22" customHeight="1">
      <x:c r="A72" s="1"/>
      <x:c r="B72" s="1"/>
      <x:c r="C72" s="1" t="str">
        <x:v>Year-end households / provider</x:v>
      </x:c>
      <x:c r="D72" s="12" t="n">
        <x:v>40</x:v>
      </x:c>
      <x:c r="E72" s="6"/>
      <x:c r="F72" s="6"/>
      <x:c r="G72" s="6"/>
      <x:c r="H72" s="6"/>
      <x:c r="I72" s="6"/>
      <x:c r="J72" s="6"/>
      <x:c r="K72" s="1"/>
      <x:c r="L72" s="10" t="str">
        <x:v>Supply sizing assumption. Fractional providers round up.</x:v>
      </x:c>
      <x:c r="M72" s="1"/>
    </x:row>
    <x:row r="73" ht="22" customHeight="1">
      <x:c r="A73" s="1"/>
      <x:c r="B73" s="1"/>
      <x:c r="C73" s="1" t="str">
        <x:v>Provider annual retention</x:v>
      </x:c>
      <x:c r="D73" s="17" t="n">
        <x:v>0.85</x:v>
      </x:c>
      <x:c r="E73" s="6"/>
      <x:c r="F73" s="6"/>
      <x:c r="G73" s="6"/>
      <x:c r="H73" s="6"/>
      <x:c r="I73" s="6"/>
      <x:c r="J73" s="6"/>
      <x:c r="K73" s="1"/>
      <x:c r="L73" s="10" t="str">
        <x:v>Supply churn assumption. Replacement providers get the welcome offer.</x:v>
      </x:c>
      <x:c r="M73" s="1"/>
    </x:row>
    <x:row r="74" ht="22" customHeight="1">
      <x:c r="A74" s="1"/>
      <x:c r="B74" s="1"/>
      <x:c r="C74" s="1" t="str">
        <x:v>Payout-active months / year</x:v>
      </x:c>
      <x:c r="D74" s="12" t="n">
        <x:v>8</x:v>
      </x:c>
      <x:c r="E74" s="6"/>
      <x:c r="F74" s="6"/>
      <x:c r="G74" s="6"/>
      <x:c r="H74" s="6"/>
      <x:c r="I74" s="6"/>
      <x:c r="J74" s="6"/>
      <x:c r="K74" s="1"/>
      <x:c r="L74" s="10" t="str">
        <x:v>Seasonal market assumption. Fixed payroll and overhead run all 12 months.</x:v>
      </x:c>
      <x:c r="M74" s="1"/>
    </x:row>
    <x:row r="75" ht="22" customHeight="1">
      <x:c r="A75" s="1"/>
      <x:c r="B75" s="1"/>
      <x:c r="C75" s="1" t="str">
        <x:v>Payouts / active provider month</x:v>
      </x:c>
      <x:c r="D75" s="28" t="n">
        <x:v>4.33</x:v>
      </x:c>
      <x:c r="E75" s="6"/>
      <x:c r="F75" s="6"/>
      <x:c r="G75" s="6"/>
      <x:c r="H75" s="6"/>
      <x:c r="I75" s="6"/>
      <x:c r="J75" s="6"/>
      <x:c r="K75" s="1"/>
      <x:c r="L75" s="10" t="str">
        <x:v>Weekly batching assumption, not one payout per job.</x:v>
      </x:c>
      <x:c r="M75" s="1"/>
    </x:row>
    <x:row r="76" ht="22" customHeight="1">
      <x:c r="A76" s="1"/>
      <x:c r="B76" s="1"/>
      <x:c r="C76" s="1" t="str">
        <x:v>Domestic card rate</x:v>
      </x:c>
      <x:c r="D76" s="17" t="n">
        <x:v>0.029</x:v>
      </x:c>
      <x:c r="E76" s="6"/>
      <x:c r="F76" s="6"/>
      <x:c r="G76" s="6"/>
      <x:c r="H76" s="6"/>
      <x:c r="I76" s="6"/>
      <x:c r="J76" s="6"/>
      <x:c r="K76" s="1"/>
      <x:c r="L76" s="10" t="str">
        <x:v>Stripe standard US pricing, checked Sep 20, 2026: https://stripe.com/pricing</x:v>
      </x:c>
      <x:c r="M76" s="1"/>
    </x:row>
    <x:row r="77" ht="22" customHeight="1">
      <x:c r="A77" s="1"/>
      <x:c r="B77" s="1"/>
      <x:c r="C77" s="1" t="str">
        <x:v>Domestic card fixed charge</x:v>
      </x:c>
      <x:c r="D77" s="27" t="n">
        <x:v>0.3</x:v>
      </x:c>
      <x:c r="E77" s="6"/>
      <x:c r="F77" s="6"/>
      <x:c r="G77" s="6"/>
      <x:c r="H77" s="6"/>
      <x:c r="I77" s="6"/>
      <x:c r="J77" s="6"/>
      <x:c r="K77" s="1"/>
      <x:c r="L77" s="10" t="str">
        <x:v>Stripe standard US pricing: https://stripe.com/pricing</x:v>
      </x:c>
      <x:c r="M77" s="1"/>
    </x:row>
    <x:row r="78" ht="22" customHeight="1">
      <x:c r="A78" s="1"/>
      <x:c r="B78" s="1"/>
      <x:c r="C78" s="1" t="str">
        <x:v>ACH debit rate</x:v>
      </x:c>
      <x:c r="D78" s="17" t="n">
        <x:v>0.008</x:v>
      </x:c>
      <x:c r="E78" s="6"/>
      <x:c r="F78" s="6"/>
      <x:c r="G78" s="6"/>
      <x:c r="H78" s="6"/>
      <x:c r="I78" s="6"/>
      <x:c r="J78" s="6"/>
      <x:c r="K78" s="1"/>
      <x:c r="L78" s="10" t="str">
        <x:v>Stripe standard US ACH 0.8%, $5 cap: https://stripe.com/pricing</x:v>
      </x:c>
      <x:c r="M78" s="1"/>
    </x:row>
    <x:row r="79" ht="22" customHeight="1">
      <x:c r="A79" s="1"/>
      <x:c r="B79" s="1"/>
      <x:c r="C79" s="1" t="str">
        <x:v>ACH debit cap</x:v>
      </x:c>
      <x:c r="D79" s="27" t="n">
        <x:v>5</x:v>
      </x:c>
      <x:c r="E79" s="6"/>
      <x:c r="F79" s="6"/>
      <x:c r="G79" s="6"/>
      <x:c r="H79" s="6"/>
      <x:c r="I79" s="6"/>
      <x:c r="J79" s="6"/>
      <x:c r="K79" s="1"/>
      <x:c r="L79" s="10" t="str">
        <x:v>Stripe standard US pricing: https://stripe.com/pricing</x:v>
      </x:c>
      <x:c r="M79" s="1"/>
    </x:row>
    <x:row r="80" ht="22" customHeight="1">
      <x:c r="A80" s="1"/>
      <x:c r="B80" s="1"/>
      <x:c r="C80" s="1" t="str">
        <x:v>Connect payout volume rate</x:v>
      </x:c>
      <x:c r="D80" s="29" t="n">
        <x:v>0.0025</x:v>
      </x:c>
      <x:c r="E80" s="6"/>
      <x:c r="F80" s="6"/>
      <x:c r="G80" s="6"/>
      <x:c r="H80" s="6"/>
      <x:c r="I80" s="6"/>
      <x:c r="J80" s="6"/>
      <x:c r="K80" s="1"/>
      <x:c r="L80" s="10" t="str">
        <x:v>US platform-controlled pricing assumption: https://stripe.com/connect/pricing and https://support.stripe.com/questions/monetizing-payments-with-stripe-connect</x:v>
      </x:c>
      <x:c r="M80" s="1"/>
    </x:row>
    <x:row r="81" ht="22" customHeight="1">
      <x:c r="A81" s="1"/>
      <x:c r="B81" s="1"/>
      <x:c r="C81" s="1" t="str">
        <x:v>Connect cost / payout</x:v>
      </x:c>
      <x:c r="D81" s="27" t="n">
        <x:v>0.25</x:v>
      </x:c>
      <x:c r="E81" s="6"/>
      <x:c r="F81" s="6"/>
      <x:c r="G81" s="6"/>
      <x:c r="H81" s="6"/>
      <x:c r="I81" s="6"/>
      <x:c r="J81" s="6"/>
      <x:c r="K81" s="1"/>
      <x:c r="L81" s="10" t="str">
        <x:v>Same Connect source. Confirm exact contracted account configuration before launch.</x:v>
      </x:c>
      <x:c r="M81" s="1"/>
    </x:row>
    <x:row r="82" ht="22" customHeight="1">
      <x:c r="A82" s="1"/>
      <x:c r="B82" s="1"/>
      <x:c r="C82" s="1" t="str">
        <x:v>Connect / active account month</x:v>
      </x:c>
      <x:c r="D82" s="27" t="n">
        <x:v>2</x:v>
      </x:c>
      <x:c r="E82" s="6"/>
      <x:c r="F82" s="6"/>
      <x:c r="G82" s="6"/>
      <x:c r="H82" s="6"/>
      <x:c r="I82" s="6"/>
      <x:c r="J82" s="6"/>
      <x:c r="K82" s="1"/>
      <x:c r="L82" s="10" t="str">
        <x:v>Same Connect source. Added to card/ACH processing costs.</x:v>
      </x:c>
      <x:c r="M82" s="1"/>
    </x:row>
    <x:row r="83" ht="22" customHeight="1">
      <x:c r="A83" s="1"/>
      <x:c r="B83" s="1"/>
      <x:c r="C83" s="1" t="str">
        <x:v>Allowance / new bank link</x:v>
      </x:c>
      <x:c r="D83" s="27" t="n">
        <x:v>1.5</x:v>
      </x:c>
      <x:c r="E83" s="6"/>
      <x:c r="F83" s="6"/>
      <x:c r="G83" s="6"/>
      <x:c r="H83" s="6"/>
      <x:c r="I83" s="6"/>
      <x:c r="J83" s="6"/>
      <x:c r="K83" s="1"/>
      <x:c r="L83" s="10" t="str">
        <x:v>Conservative Financial Connections allowance. Actual ACH integration may bundle verification: https://stripe.com/financial-connections</x:v>
      </x:c>
      <x:c r="M83" s="1"/>
    </x:row>
    <x:row r="84" ht="22" customHeight="1">
      <x:c r="A84" s="1"/>
      <x:c r="B84" s="1"/>
      <x:c r="C84" s="1" t="str">
        <x:v>Variable support / completed booking</x:v>
      </x:c>
      <x:c r="D84" s="27" t="n">
        <x:v>0.15</x:v>
      </x:c>
      <x:c r="E84" s="6"/>
      <x:c r="F84" s="6"/>
      <x:c r="G84" s="6"/>
      <x:c r="H84" s="6"/>
      <x:c r="I84" s="6"/>
      <x:c r="J84" s="6"/>
      <x:c r="K84" s="1"/>
      <x:c r="L84" s="10" t="str">
        <x:v>Planning allowance for external support labor. Staff salaries separately in payroll.</x:v>
      </x:c>
      <x:c r="M84" s="1"/>
    </x:row>
    <x:row r="85" ht="22" customHeight="1">
      <x:c r="A85" s="1"/>
      <x:c r="B85" s="1"/>
      <x:c r="C85" s="1" t="str">
        <x:v>Variable infrastructure / paid job</x:v>
      </x:c>
      <x:c r="D85" s="27" t="n">
        <x:v>0.1</x:v>
      </x:c>
      <x:c r="E85" s="6"/>
      <x:c r="F85" s="6"/>
      <x:c r="G85" s="6"/>
      <x:c r="H85" s="6"/>
      <x:c r="I85" s="6"/>
      <x:c r="J85" s="6"/>
      <x:c r="K85" s="1"/>
      <x:c r="L85" s="10" t="str">
        <x:v>Messaging, maps, storage and usage-based infrastructure allowance.</x:v>
      </x:c>
      <x:c r="M85" s="1"/>
    </x:row>
    <x:row r="86" ht="22" customHeight="1">
      <x:c r="A86" s="1"/>
      <x:c r="B86" s="1"/>
      <x:c r="C86" s="1" t="str">
        <x:v>Marketplace payment-loss allowance / booking value</x:v>
      </x:c>
      <x:c r="D86" s="17" t="n">
        <x:v>0</x:v>
      </x:c>
      <x:c r="E86" s="6"/>
      <x:c r="F86" s="6"/>
      <x:c r="G86" s="6"/>
      <x:c r="H86" s="6"/>
      <x:c r="I86" s="6"/>
      <x:c r="J86" s="6"/>
      <x:c r="K86" s="1"/>
      <x:c r="L86" s="10" t="str">
        <x:v>Zero because YardMatch does not process customer service payments. Finder and subscription billing risk is modeled in Revenue streams.</x:v>
      </x:c>
      <x:c r="M86" s="1"/>
    </x:row>
    <x:row r="87" ht="22" customHeight="1">
      <x:c r="A87" s="1"/>
      <x:c r="B87" s="1"/>
      <x:c r="C87" s="1" t="str">
        <x:v>Acquisition and verification / new provider</x:v>
      </x:c>
      <x:c r="D87" s="23" t="n">
        <x:v>75</x:v>
      </x:c>
      <x:c r="E87" s="6"/>
      <x:c r="F87" s="6"/>
      <x:c r="G87" s="6"/>
      <x:c r="H87" s="6"/>
      <x:c r="I87" s="6"/>
      <x:c r="J87" s="6"/>
      <x:c r="K87" s="1"/>
      <x:c r="L87" s="10" t="str">
        <x:v>Planning allowance beyond waived finder fees and growth staff salaries.</x:v>
      </x:c>
      <x:c r="M87" s="1"/>
    </x:row>
    <x:row r="88" ht="22" customHeight="1">
      <x:c r="A88" s="1"/>
      <x:c r="B88" s="1"/>
      <x:c r="C88" s="1" t="str">
        <x:v>Free first pairing / new provider</x:v>
      </x:c>
      <x:c r="D88" s="12" t="n">
        <x:v>1</x:v>
      </x:c>
      <x:c r="E88" s="6"/>
      <x:c r="F88" s="6"/>
      <x:c r="G88" s="6"/>
      <x:c r="H88" s="6"/>
      <x:c r="I88" s="6"/>
      <x:c r="J88" s="6"/>
      <x:c r="K88" s="1"/>
      <x:c r="L88" s="10" t="str">
        <x:v>Partner PDF page 9 welcome offer. Only finder fee waived. Processing charges apply when in-app payments are used; no recurring YardMatch service fee applies.</x:v>
      </x:c>
      <x:c r="M88" s="1"/>
    </x:row>
    <x:row r="89" ht="22" customHeight="1">
      <x:c r="A89" s="1"/>
      <x:c r="B89" s="1"/>
      <x:c r="C89" s="1" t="str">
        <x:v>Illustrative tax on positive EBIT</x:v>
      </x:c>
      <x:c r="D89" s="17" t="n">
        <x:v>0.25</x:v>
      </x:c>
      <x:c r="E89" s="6"/>
      <x:c r="F89" s="6"/>
      <x:c r="G89" s="6"/>
      <x:c r="H89" s="6"/>
      <x:c r="I89" s="6"/>
      <x:c r="J89" s="6"/>
      <x:c r="K89" s="1"/>
      <x:c r="L89" s="10" t="str">
        <x:v>Model placeholder only. No loss carryforward benefit assumed. Not an assessed tax rate.</x:v>
      </x:c>
      <x:c r="M89" s="1"/>
    </x:row>
    <x:row r="90" ht="22" customHeight="1">
      <x:c r="A90" s="1"/>
      <x:c r="B90" s="1"/>
      <x:c r="C90" s="1" t="str">
        <x:v>Restricted payment risk cash / booking value</x:v>
      </x:c>
      <x:c r="D90" s="17" t="n">
        <x:v>0</x:v>
      </x:c>
      <x:c r="E90" s="6"/>
      <x:c r="F90" s="6"/>
      <x:c r="G90" s="6"/>
      <x:c r="H90" s="6"/>
      <x:c r="I90" s="6"/>
      <x:c r="J90" s="6"/>
      <x:c r="K90" s="1"/>
      <x:c r="L90" s="10" t="str">
        <x:v>Zero because customer service payments flow directly to providers.</x:v>
      </x:c>
      <x:c r="M90" s="1"/>
    </x:row>
    <x:row r="91" ht="22" customHeight="1">
      <x:c r="A91" s="1"/>
      <x:c r="B91" s="1"/>
      <x:c r="C91" s="1" t="str">
        <x:v>Equipment useful life / years</x:v>
      </x:c>
      <x:c r="D91" s="12" t="n">
        <x:v>3</x:v>
      </x:c>
      <x:c r="E91" s="6"/>
      <x:c r="F91" s="6"/>
      <x:c r="G91" s="6"/>
      <x:c r="H91" s="6"/>
      <x:c r="I91" s="6"/>
      <x:c r="J91" s="6"/>
      <x:c r="K91" s="1"/>
      <x:c r="L91" s="10" t="str">
        <x:v>Straight-line from start of acquisition year. Development payroll expensed.</x:v>
      </x:c>
      <x:c r="M91" s="1"/>
    </x:row>
    <x:row r="92" ht="22" customHeight="1">
      <x:c r="A92" s="1"/>
      <x:c r="B92" s="1"/>
      <x:c r="C92" s="1" t="str">
        <x:v>Illustrative round 1 gross proceeds</x:v>
      </x:c>
      <x:c r="D92" s="23" t="n">
        <x:v>1500000</x:v>
      </x:c>
      <x:c r="E92" s="6"/>
      <x:c r="F92" s="6"/>
      <x:c r="G92" s="6"/>
      <x:c r="H92" s="6"/>
      <x:c r="I92" s="6"/>
      <x:c r="J92" s="6"/>
      <x:c r="K92" s="1"/>
      <x:c r="L92" s="10" t="str">
        <x:v>Financing illustration, not an agreed valuation or fundraising target.</x:v>
      </x:c>
      <x:c r="M92" s="1"/>
    </x:row>
    <x:row r="93" ht="22" customHeight="1">
      <x:c r="A93" s="1"/>
      <x:c r="B93" s="1"/>
      <x:c r="C93" s="1" t="str">
        <x:v>Round 1 transaction cost</x:v>
      </x:c>
      <x:c r="D93" s="23" t="n">
        <x:v>25000</x:v>
      </x:c>
      <x:c r="E93" s="6"/>
      <x:c r="F93" s="6"/>
      <x:c r="G93" s="6"/>
      <x:c r="H93" s="6"/>
      <x:c r="I93" s="6"/>
      <x:c r="J93" s="6"/>
      <x:c r="K93" s="1"/>
      <x:c r="L93" s="10" t="str">
        <x:v>Planning allowance, paid when round closes.</x:v>
      </x:c>
      <x:c r="M93" s="1"/>
    </x:row>
    <x:row r="94" ht="22" customHeight="1">
      <x:c r="A94" s="1"/>
      <x:c r="B94" s="1"/>
      <x:c r="C94" s="1" t="str">
        <x:v>Fixed operating cost buffer / months</x:v>
      </x:c>
      <x:c r="D94" s="12" t="n">
        <x:v>6</x:v>
      </x:c>
      <x:c r="E94" s="6"/>
      <x:c r="F94" s="6"/>
      <x:c r="G94" s="6"/>
      <x:c r="H94" s="6"/>
      <x:c r="I94" s="6"/>
      <x:c r="J94" s="6"/>
      <x:c r="K94" s="1"/>
      <x:c r="L94" s="10" t="str">
        <x:v>Added to peak annual cash deficit to address intra-year seasonality.</x:v>
      </x:c>
      <x:c r="M94" s="1"/>
    </x:row>
    <x:row r="95" ht="22" customHeight="1">
      <x:c r="A95" s="1"/>
      <x:c r="B95" s="1"/>
      <x:c r="C95" s="1" t="str">
        <x:v>Initial Patrick ownership</x:v>
      </x:c>
      <x:c r="D95" s="17" t="n">
        <x:v>0.7</x:v>
      </x:c>
      <x:c r="E95" s="6"/>
      <x:c r="F95" s="6"/>
      <x:c r="G95" s="6"/>
      <x:c r="H95" s="6"/>
      <x:c r="I95" s="6"/>
      <x:c r="J95" s="6"/>
      <x:c r="K95" s="1"/>
      <x:c r="L95" s="10" t="str">
        <x:v>Patrick instruction: 70% founder, 30% other owners before external dilution.</x:v>
      </x:c>
      <x:c r="M95" s="1"/>
    </x:row>
    <x:row r="96" ht="22" customHeight="1">
      <x:c r="A96" s="1"/>
      <x:c r="B96" s="1"/>
      <x:c r="C96" s="1" t="str">
        <x:v>Round 1 new investor stake</x:v>
      </x:c>
      <x:c r="D96" s="17" t="n">
        <x:v>0.2</x:v>
      </x:c>
      <x:c r="E96" s="6"/>
      <x:c r="F96" s="6"/>
      <x:c r="G96" s="6"/>
      <x:c r="H96" s="6"/>
      <x:c r="I96" s="6"/>
      <x:c r="J96" s="6"/>
      <x:c r="K96" s="1"/>
      <x:c r="L96" s="10" t="str">
        <x:v>Illustrative post-money equity issuance. No option pool or convertible instruments assumed.</x:v>
      </x:c>
      <x:c r="M96" s="1"/>
    </x:row>
    <x:row r="97" ht="22" customHeight="1">
      <x:c r="A97" s="1"/>
      <x:c r="B97" s="1"/>
      <x:c r="C97" s="1" t="str">
        <x:v>Round 2 new investor stake</x:v>
      </x:c>
      <x:c r="D97" s="17" t="n">
        <x:v>0.2</x:v>
      </x:c>
      <x:c r="E97" s="6"/>
      <x:c r="F97" s="6"/>
      <x:c r="G97" s="6"/>
      <x:c r="H97" s="6"/>
      <x:c r="I97" s="6"/>
      <x:c r="J97" s="6"/>
      <x:c r="K97" s="1"/>
      <x:c r="L97" s="10" t="str">
        <x:v>Dilution illustration only. Round 2 proceeds are not assumed in cash forecast.</x:v>
      </x:c>
      <x:c r="M97" s="1"/>
    </x:row>
    <x:row r="98" ht="22" customHeight="1">
      <x:c r="A98" s="1"/>
      <x:c r="B98" s="1"/>
      <x:c r="C98" s="1"/>
      <x:c r="D98" s="6"/>
      <x:c r="E98" s="6"/>
      <x:c r="F98" s="6"/>
      <x:c r="G98" s="6"/>
      <x:c r="H98" s="6"/>
      <x:c r="I98" s="6"/>
      <x:c r="J98" s="6"/>
      <x:c r="K98" s="1"/>
      <x:c r="L98" s="10"/>
      <x:c r="M98" s="1"/>
    </x:row>
    <x:row r="99" ht="22" customHeight="1">
      <x:c r="A99" s="1"/>
      <x:c r="B99" s="1"/>
      <x:c r="C99" s="1"/>
      <x:c r="D99" s="6"/>
      <x:c r="E99" s="6"/>
      <x:c r="F99" s="6"/>
      <x:c r="G99" s="6"/>
      <x:c r="H99" s="6"/>
      <x:c r="I99" s="6"/>
      <x:c r="J99" s="6"/>
      <x:c r="K99" s="1"/>
      <x:c r="L99" s="10"/>
      <x:c r="M99" s="1"/>
    </x:row>
    <x:row r="100" ht="22" customHeight="1">
      <x:c r="A100" s="1"/>
      <x:c r="B100" s="1"/>
      <x:c r="C100" s="32" t="str">
        <x:v>2027-2033 calendar-year forecast. No historical revenue, paying customer count, signed provider count or cash balance was supplied. Opening forecast balances are zero assumptions.</x:v>
      </x:c>
      <x:c r="D100" s="33"/>
      <x:c r="E100" s="33"/>
      <x:c r="F100" s="33"/>
      <x:c r="G100" s="33"/>
      <x:c r="H100" s="33"/>
      <x:c r="I100" s="33"/>
      <x:c r="J100" s="33"/>
      <x:c r="K100" s="1"/>
      <x:c r="L100" s="10"/>
      <x:c r="M100" s="1"/>
    </x:row>
    <x:row r="101" ht="22" customHeight="1">
      <x:c r="A101" s="1"/>
      <x:c r="B101" s="1"/>
      <x:c r="C101" s="32"/>
      <x:c r="D101" s="33"/>
      <x:c r="E101" s="33"/>
      <x:c r="F101" s="33"/>
      <x:c r="G101" s="33"/>
      <x:c r="H101" s="33"/>
      <x:c r="I101" s="33"/>
      <x:c r="J101" s="33"/>
      <x:c r="K101" s="1"/>
      <x:c r="L101" s="10"/>
      <x:c r="M101" s="1"/>
    </x:row>
    <x:row r="102" ht="22" customHeight="1">
      <x:c r="A102" s="1"/>
      <x:c r="B102" s="1"/>
      <x:c r="C102" s="1"/>
      <x:c r="D102" s="6"/>
      <x:c r="E102" s="6"/>
      <x:c r="F102" s="6"/>
      <x:c r="G102" s="6"/>
      <x:c r="H102" s="6"/>
      <x:c r="I102" s="6"/>
      <x:c r="J102" s="6"/>
      <x:c r="K102" s="1"/>
      <x:c r="L102" s="10"/>
      <x:c r="M102" s="1"/>
    </x:row>
    <x:row r="103" ht="22" customHeight="1">
      <x:c r="A103" s="1"/>
      <x:c r="B103" s="1"/>
      <x:c r="C103" s="32" t="str">
        <x:v>Staffing scales with the national footprint. Selected forecast includes Pro and Teams subscriptions; sponsorship remains off. No worker fees, hiring commissions, customer fees, tax/tip revenue or volume discounts. Projects with the same provider add no new finder fee.</x:v>
      </x:c>
      <x:c r="D103" s="33"/>
      <x:c r="E103" s="33"/>
      <x:c r="F103" s="33"/>
      <x:c r="G103" s="33"/>
      <x:c r="H103" s="33"/>
      <x:c r="I103" s="33"/>
      <x:c r="J103" s="33"/>
      <x:c r="K103" s="1"/>
      <x:c r="L103" s="10"/>
      <x:c r="M103" s="1"/>
    </x:row>
    <x:row r="104" ht="22" customHeight="1">
      <x:c r="A104" s="1"/>
      <x:c r="B104" s="1"/>
      <x:c r="C104" s="32"/>
      <x:c r="D104" s="33"/>
      <x:c r="E104" s="33"/>
      <x:c r="F104" s="33"/>
      <x:c r="G104" s="33"/>
      <x:c r="H104" s="33"/>
      <x:c r="I104" s="33"/>
      <x:c r="J104" s="33"/>
      <x:c r="K104" s="1"/>
      <x:c r="L104" s="10"/>
      <x:c r="M104" s="1"/>
    </x:row>
    <x:row r="105" ht="22" customHeight="1">
      <x:c r="A105" s="1"/>
      <x:c r="B105" s="1"/>
      <x:c r="C105" s="1"/>
      <x:c r="D105" s="6"/>
      <x:c r="E105" s="6"/>
      <x:c r="F105" s="6"/>
      <x:c r="G105" s="6"/>
      <x:c r="H105" s="6"/>
      <x:c r="I105" s="6"/>
      <x:c r="J105" s="6"/>
      <x:c r="K105" s="1"/>
      <x:c r="L105" s="10"/>
      <x:c r="M105" s="1"/>
    </x:row>
    <x:row r="106" ht="22" customHeight="1">
      <x:c r="A106" s="1"/>
      <x:c r="B106" s="1"/>
      <x:c r="C106" s="32" t="str">
        <x:v>Change D3 to switch cases. The same operating model recalculates all outputs. Deck scenarios are dated exports of this model and do not update automatically.</x:v>
      </x:c>
      <x:c r="D106" s="33"/>
      <x:c r="E106" s="33"/>
      <x:c r="F106" s="33"/>
      <x:c r="G106" s="33"/>
      <x:c r="H106" s="33"/>
      <x:c r="I106" s="33"/>
      <x:c r="J106" s="33"/>
      <x:c r="K106" s="1"/>
      <x:c r="L106" s="10"/>
      <x:c r="M106" s="1"/>
    </x:row>
    <x:row r="107" ht="22" customHeight="1">
      <x:c r="A107" s="1"/>
      <x:c r="B107" s="1"/>
      <x:c r="C107" s="32"/>
      <x:c r="D107" s="33"/>
      <x:c r="E107" s="33"/>
      <x:c r="F107" s="33"/>
      <x:c r="G107" s="33"/>
      <x:c r="H107" s="33"/>
      <x:c r="I107" s="33"/>
      <x:c r="J107" s="33"/>
      <x:c r="K107" s="1"/>
      <x:c r="L107" s="10"/>
      <x:c r="M107" s="1"/>
    </x:row>
    <x:row r="108" ht="22" customHeight="1">
      <x:c r="A108" s="1"/>
      <x:c r="B108" s="1"/>
      <x:c r="C108" s="1"/>
      <x:c r="D108" s="6"/>
      <x:c r="E108" s="6"/>
      <x:c r="F108" s="6"/>
      <x:c r="G108" s="6"/>
      <x:c r="H108" s="6"/>
      <x:c r="I108" s="6"/>
      <x:c r="J108" s="6"/>
      <x:c r="K108" s="1"/>
      <x:c r="L108" s="10"/>
      <x:c r="M108" s="1"/>
    </x:row>
    <x:row r="109" ht="22" customHeight="1">
      <x:c r="A109" s="1"/>
      <x:c r="B109" s="1"/>
      <x:c r="C109" s="32" t="str">
        <x:v>Cash analysis excludes existing company cash/debt, financing beyond illustrative round 1 and liquidation preferences. Actual monthly runway requires a hiring and collection calendar.</x:v>
      </x:c>
      <x:c r="D109" s="33"/>
      <x:c r="E109" s="33"/>
      <x:c r="F109" s="33"/>
      <x:c r="G109" s="33"/>
      <x:c r="H109" s="33"/>
      <x:c r="I109" s="33"/>
      <x:c r="J109" s="33"/>
      <x:c r="K109" s="1"/>
      <x:c r="L109" s="10"/>
      <x:c r="M109" s="1"/>
    </x:row>
    <x:row r="110" ht="22" customHeight="1">
      <x:c r="A110" s="1"/>
      <x:c r="B110" s="1"/>
      <x:c r="C110" s="32"/>
      <x:c r="D110" s="33"/>
      <x:c r="E110" s="33"/>
      <x:c r="F110" s="33"/>
      <x:c r="G110" s="33"/>
      <x:c r="H110" s="33"/>
      <x:c r="I110" s="33"/>
      <x:c r="J110" s="33"/>
      <x:c r="K110" s="1"/>
      <x:c r="L110" s="10"/>
      <x:c r="M110" s="1"/>
    </x:row>
    <x:row r="111" ht="22" customHeight="1">
      <x:c r="A111" s="1"/>
      <x:c r="B111" s="1"/>
      <x:c r="C111" s="1"/>
      <x:c r="D111" s="6"/>
      <x:c r="E111" s="6"/>
      <x:c r="F111" s="6"/>
      <x:c r="G111" s="6"/>
      <x:c r="H111" s="6"/>
      <x:c r="I111" s="6"/>
      <x:c r="J111" s="6"/>
      <x:c r="K111" s="1"/>
      <x:c r="L111" s="10"/>
      <x:c r="M111" s="1"/>
    </x:row>
    <x:row r="112" ht="22" customHeight="1">
      <x:c r="A112" s="1"/>
      <x:c r="B112" s="1"/>
      <x:c r="C112" s="1"/>
      <x:c r="D112" s="6"/>
      <x:c r="E112" s="6"/>
      <x:c r="F112" s="6"/>
      <x:c r="G112" s="6"/>
      <x:c r="H112" s="6"/>
      <x:c r="I112" s="6"/>
      <x:c r="J112" s="6"/>
      <x:c r="K112" s="1"/>
      <x:c r="L112" s="10"/>
      <x:c r="M112" s="1"/>
    </x:row>
    <x:row r="113" ht="22" customHeight="1">
      <x:c r="A113" s="1"/>
      <x:c r="B113" s="1"/>
      <x:c r="C113" s="5" t="str">
        <x:v>Recommended pricing inputs</x:v>
      </x:c>
      <x:c r="D113" s="26"/>
      <x:c r="E113" s="26"/>
      <x:c r="F113" s="26"/>
      <x:c r="G113" s="26"/>
      <x:c r="H113" s="26"/>
      <x:c r="I113" s="26"/>
      <x:c r="J113" s="26"/>
      <x:c r="K113" s="1"/>
      <x:c r="L113" s="10"/>
      <x:c r="M113" s="1"/>
    </x:row>
    <x:row r="114" ht="22" customHeight="1">
      <x:c r="A114" s="1"/>
      <x:c r="B114" s="1"/>
      <x:c r="C114" s="1" t="str">
        <x:v>Card platform percentage</x:v>
      </x:c>
      <x:c r="D114" s="17" t="n">
        <x:v>0</x:v>
      </x:c>
      <x:c r="E114" s="6"/>
      <x:c r="F114" s="6"/>
      <x:c r="G114" s="6"/>
      <x:c r="H114" s="6"/>
      <x:c r="I114" s="6"/>
      <x:c r="J114" s="6"/>
      <x:c r="K114" s="1"/>
      <x:c r="L114" s="10" t="str">
        <x:v>Selected acquisition-first model: no recurring YardMatch percentage. Customers pay providers directly. No additional adoption is assumed.</x:v>
      </x:c>
      <x:c r="M114" s="1"/>
    </x:row>
    <x:row r="115" ht="22" customHeight="1">
      <x:c r="A115" s="1"/>
      <x:c r="B115" s="1"/>
      <x:c r="C115" s="1" t="str">
        <x:v>Active card platform percentage</x:v>
      </x:c>
      <x:c r="D115" s="16" t="n">
        <x:f>IF(D4="Proposed",D114,0)</x:f>
        <x:v>0</x:v>
      </x:c>
      <x:c r="E115" s="6"/>
      <x:c r="F115" s="6"/>
      <x:c r="G115" s="6"/>
      <x:c r="H115" s="6"/>
      <x:c r="I115" s="6"/>
      <x:c r="J115" s="6"/>
      <x:c r="K115" s="1"/>
      <x:c r="L115" s="10"/>
      <x:c r="M115" s="1"/>
    </x:row>
    <x:row r="116" ht="22" customHeight="1">
      <x:c r="A116" s="1"/>
      <x:c r="B116" s="1"/>
      <x:c r="C116" s="1" t="str">
        <x:v>Service-payment processing recovery</x:v>
      </x:c>
      <x:c r="D116" s="17" t="n">
        <x:v>0</x:v>
      </x:c>
      <x:c r="E116" s="6"/>
      <x:c r="F116" s="6"/>
      <x:c r="G116" s="6"/>
      <x:c r="H116" s="6"/>
      <x:c r="I116" s="6"/>
      <x:c r="J116" s="6"/>
      <x:c r="K116" s="1"/>
      <x:c r="L116" s="10" t="str">
        <x:v>Zero because YardMatch does not process customer service payments. Providers use cash, check or their existing payment method.</x:v>
      </x:c>
      <x:c r="M116" s="1"/>
    </x:row>
    <x:row r="117" ht="22" customHeight="1">
      <x:c r="A117" s="1"/>
      <x:c r="B117" s="1"/>
      <x:c r="C117" s="1" t="str">
        <x:v>Active processing recovery</x:v>
      </x:c>
      <x:c r="D117" s="16" t="n">
        <x:f>IF(D4="Proposed",D116,0)</x:f>
        <x:v>0</x:v>
      </x:c>
      <x:c r="E117" s="6"/>
      <x:c r="F117" s="6"/>
      <x:c r="G117" s="6"/>
      <x:c r="H117" s="6"/>
      <x:c r="I117" s="6"/>
      <x:c r="J117" s="6"/>
      <x:c r="K117" s="1"/>
      <x:c r="L117" s="10"/>
      <x:c r="M117" s="1"/>
    </x:row>
    <x:row r="118" ht="22" customHeight="1">
      <x:c r="A118" s="1"/>
      <x:c r="B118" s="1"/>
      <x:c r="C118" s="1" t="str">
        <x:v>Active recurring fee minimum</x:v>
      </x:c>
      <x:c r="D118" s="34" t="n">
        <x:f>IF(D4="Proposed",D70,2.99)</x:f>
        <x:v>0</x:v>
      </x:c>
      <x:c r="E118" s="6"/>
      <x:c r="F118" s="6"/>
      <x:c r="G118" s="6"/>
      <x:c r="H118" s="6"/>
      <x:c r="I118" s="6"/>
      <x:c r="J118" s="6"/>
      <x:c r="K118" s="1"/>
      <x:c r="L118" s="10"/>
      <x:c r="M118" s="1"/>
    </x:row>
    <x:row r="119" ht="22" customHeight="1">
      <x:c r="A119" s="1"/>
      <x:c r="B119" s="1"/>
      <x:c r="C119" s="1"/>
      <x:c r="D119" s="6"/>
      <x:c r="E119" s="6"/>
      <x:c r="F119" s="6"/>
      <x:c r="G119" s="6"/>
      <x:c r="H119" s="6"/>
      <x:c r="I119" s="6"/>
      <x:c r="J119" s="6"/>
      <x:c r="K119" s="1"/>
      <x:c r="L119" s="10"/>
      <x:c r="M119" s="1"/>
    </x:row>
    <x:row r="120" ht="22" customHeight="1">
      <x:c r="A120" s="1"/>
      <x:c r="B120" s="1"/>
      <x:c r="C120" s="32" t="str">
        <x:v>Use $75 / $110 / $150 property-tier finder fees, charged after the first completed paid service per new customer/provider pairing. Larger serviceable properties pay more once at acquisition. Preserve the first-new-client finder-fee waiver for new providers.</x:v>
      </x:c>
      <x:c r="D120" s="33"/>
      <x:c r="E120" s="33"/>
      <x:c r="F120" s="33"/>
      <x:c r="G120" s="33"/>
      <x:c r="H120" s="33"/>
      <x:c r="I120" s="33"/>
      <x:c r="J120" s="33"/>
      <x:c r="K120" s="1"/>
      <x:c r="L120" s="10"/>
      <x:c r="M120" s="1"/>
    </x:row>
    <x:row r="121" ht="22" customHeight="1">
      <x:c r="A121" s="1"/>
      <x:c r="B121" s="1"/>
      <x:c r="C121" s="32"/>
      <x:c r="D121" s="33"/>
      <x:c r="E121" s="33"/>
      <x:c r="F121" s="33"/>
      <x:c r="G121" s="33"/>
      <x:c r="H121" s="33"/>
      <x:c r="I121" s="33"/>
      <x:c r="J121" s="33"/>
      <x:c r="K121" s="1"/>
      <x:c r="L121" s="10"/>
      <x:c r="M121" s="1"/>
    </x:row>
    <x:row r="122" ht="22" customHeight="1">
      <x:c r="A122" s="1"/>
      <x:c r="B122" s="1"/>
      <x:c r="C122" s="1"/>
      <x:c r="D122" s="6"/>
      <x:c r="E122" s="6"/>
      <x:c r="F122" s="6"/>
      <x:c r="G122" s="6"/>
      <x:c r="H122" s="6"/>
      <x:c r="I122" s="6"/>
      <x:c r="J122" s="6"/>
      <x:c r="K122" s="1"/>
      <x:c r="L122" s="10"/>
      <x:c r="M122" s="1"/>
    </x:row>
    <x:row r="123" ht="22" customHeight="1">
      <x:c r="A123" s="1"/>
      <x:c r="B123" s="1"/>
      <x:c r="C123" s="32" t="str">
        <x:v>Zocdoc publicly shows $30-$140 depending on specialty/location. That page references older licensing terms. Current help confirms variable discovery fees, charged at booking. https://www.zocdoc.com/about/understanding-your-bill/</x:v>
      </x:c>
      <x:c r="D123" s="33"/>
      <x:c r="E123" s="33"/>
      <x:c r="F123" s="33"/>
      <x:c r="G123" s="33"/>
      <x:c r="H123" s="33"/>
      <x:c r="I123" s="33"/>
      <x:c r="J123" s="33"/>
      <x:c r="K123" s="1"/>
      <x:c r="L123" s="10"/>
      <x:c r="M123" s="1"/>
    </x:row>
    <x:row r="124" ht="22" customHeight="1">
      <x:c r="A124" s="1"/>
      <x:c r="B124" s="1"/>
      <x:c r="C124" s="32"/>
      <x:c r="D124" s="33"/>
      <x:c r="E124" s="33"/>
      <x:c r="F124" s="33"/>
      <x:c r="G124" s="33"/>
      <x:c r="H124" s="33"/>
      <x:c r="I124" s="33"/>
      <x:c r="J124" s="33"/>
      <x:c r="K124" s="1"/>
      <x:c r="L124" s="10"/>
      <x:c r="M124" s="1"/>
    </x:row>
    <x:row r="125" ht="22" customHeight="1">
      <x:c r="A125" s="1"/>
      <x:c r="B125" s="1"/>
      <x:c r="C125" s="1"/>
      <x:c r="D125" s="6"/>
      <x:c r="E125" s="6"/>
      <x:c r="F125" s="6"/>
      <x:c r="G125" s="6"/>
      <x:c r="H125" s="6"/>
      <x:c r="I125" s="6"/>
      <x:c r="J125" s="6"/>
      <x:c r="K125" s="1"/>
      <x:c r="L125" s="10"/>
      <x:c r="M125" s="1"/>
    </x:row>
    <x:row r="126" ht="22" customHeight="1">
      <x:c r="A126" s="1"/>
      <x:c r="B126" s="1"/>
      <x:c r="C126" s="32" t="str">
        <x:v>Current Zocdoc help: no subscription to join, but Sponsored Results and Practice Solutions can cost extra. Older pages describe free Practice Solutions. Exact quotes control. https://www.zocdoc.com/provider-help/en/articles/10859404-understanding-zocdoc-pricing-and-billing</x:v>
      </x:c>
      <x:c r="D126" s="33"/>
      <x:c r="E126" s="33"/>
      <x:c r="F126" s="33"/>
      <x:c r="G126" s="33"/>
      <x:c r="H126" s="33"/>
      <x:c r="I126" s="33"/>
      <x:c r="J126" s="33"/>
      <x:c r="K126" s="1"/>
      <x:c r="L126" s="10"/>
      <x:c r="M126" s="1"/>
    </x:row>
    <x:row r="127" ht="22" customHeight="1">
      <x:c r="A127" s="1"/>
      <x:c r="B127" s="1"/>
      <x:c r="C127" s="32"/>
      <x:c r="D127" s="33"/>
      <x:c r="E127" s="33"/>
      <x:c r="F127" s="33"/>
      <x:c r="G127" s="33"/>
      <x:c r="H127" s="33"/>
      <x:c r="I127" s="33"/>
      <x:c r="J127" s="33"/>
      <x:c r="K127" s="1"/>
      <x:c r="L127" s="10"/>
      <x:c r="M127" s="1"/>
    </x:row>
    <x:row r="128" ht="22" customHeight="1">
      <x:c r="A128" s="1"/>
      <x:c r="B128" s="1"/>
      <x:c r="C128" s="1"/>
      <x:c r="D128" s="6"/>
      <x:c r="E128" s="6"/>
      <x:c r="F128" s="6"/>
      <x:c r="G128" s="6"/>
      <x:c r="H128" s="6"/>
      <x:c r="I128" s="6"/>
      <x:c r="J128" s="6"/>
      <x:c r="K128" s="1"/>
      <x:c r="L128" s="10"/>
      <x:c r="M128" s="1"/>
    </x:row>
    <x:row r="129" ht="22" customHeight="1">
      <x:c r="A129" s="1"/>
      <x:c r="B129" s="1"/>
      <x:c r="C129" s="5" t="str">
        <x:v>Property-based finder fee / once per new relationship</x:v>
      </x:c>
      <x:c r="D129" s="26"/>
      <x:c r="E129" s="26"/>
      <x:c r="F129" s="26"/>
      <x:c r="G129" s="26"/>
      <x:c r="H129" s="26"/>
      <x:c r="I129" s="26"/>
      <x:c r="J129" s="26"/>
      <x:c r="K129" s="1"/>
      <x:c r="L129" s="10"/>
      <x:c r="M129" s="1"/>
    </x:row>
    <x:row r="130" ht="22" customHeight="1">
      <x:c r="A130" s="1"/>
      <x:c r="B130" s="1"/>
      <x:c r="C130" s="1" t="str">
        <x:v>Finder fee policy</x:v>
      </x:c>
      <x:c r="D130" s="12" t="str">
        <x:v>Property tiers</x:v>
      </x:c>
      <x:c r="E130" s="6"/>
      <x:c r="F130" s="6"/>
      <x:c r="G130" s="6"/>
      <x:c r="H130" s="6"/>
      <x:c r="I130" s="6"/>
      <x:c r="J130" s="6"/>
      <x:c r="K130" s="1"/>
      <x:c r="L130" s="10"/>
      <x:c r="M130" s="1"/>
    </x:row>
    <x:row r="131" ht="22" customHeight="1">
      <x:c r="A131" s="1"/>
      <x:c r="B131" s="1"/>
      <x:c r="C131" s="1" t="str">
        <x:v>Large-property finder fee</x:v>
      </x:c>
      <x:c r="D131" s="27" t="n">
        <x:v>110</x:v>
      </x:c>
      <x:c r="E131" s="6"/>
      <x:c r="F131" s="6"/>
      <x:c r="G131" s="6"/>
      <x:c r="H131" s="6"/>
      <x:c r="I131" s="6"/>
      <x:c r="J131" s="6"/>
      <x:c r="K131" s="1"/>
      <x:c r="L131" s="10"/>
      <x:c r="M131" s="1"/>
    </x:row>
    <x:row r="132" ht="22" customHeight="1">
      <x:c r="A132" s="1"/>
      <x:c r="B132" s="1"/>
      <x:c r="C132" s="1" t="str">
        <x:v>Very-large-property finder fee</x:v>
      </x:c>
      <x:c r="D132" s="27" t="n">
        <x:v>150</x:v>
      </x:c>
      <x:c r="E132" s="6"/>
      <x:c r="F132" s="6"/>
      <x:c r="G132" s="6"/>
      <x:c r="H132" s="6"/>
      <x:c r="I132" s="6"/>
      <x:c r="J132" s="6"/>
      <x:c r="K132" s="1"/>
      <x:c r="L132" s="10"/>
      <x:c r="M132" s="1"/>
    </x:row>
    <x:row r="133" ht="22" customHeight="1">
      <x:c r="A133" s="1"/>
      <x:c r="B133" s="1"/>
      <x:c r="C133" s="1" t="str">
        <x:v>Active large-property finder fee</x:v>
      </x:c>
      <x:c r="D133" s="34" t="n">
        <x:f>IF(AND(D130="Property tiers",D4="Proposed"),D131,D69)</x:f>
        <x:v>110</x:v>
      </x:c>
      <x:c r="E133" s="6"/>
      <x:c r="F133" s="6"/>
      <x:c r="G133" s="6"/>
      <x:c r="H133" s="6"/>
      <x:c r="I133" s="6"/>
      <x:c r="J133" s="6"/>
      <x:c r="K133" s="1"/>
      <x:c r="L133" s="10"/>
      <x:c r="M133" s="1"/>
    </x:row>
    <x:row r="134" ht="22" customHeight="1">
      <x:c r="A134" s="1"/>
      <x:c r="B134" s="1"/>
      <x:c r="C134" s="1" t="str">
        <x:v>Active very-large-property finder fee</x:v>
      </x:c>
      <x:c r="D134" s="34" t="n">
        <x:f>IF(AND(D130="Property tiers",D4="Proposed"),D132,D69)</x:f>
        <x:v>150</x:v>
      </x:c>
      <x:c r="E134" s="6"/>
      <x:c r="F134" s="6"/>
      <x:c r="G134" s="6"/>
      <x:c r="H134" s="6"/>
      <x:c r="I134" s="6"/>
      <x:c r="J134" s="6"/>
      <x:c r="K134" s="1"/>
      <x:c r="L134" s="10"/>
      <x:c r="M134" s="1"/>
    </x:row>
    <x:row r="135" ht="22" customHeight="1">
      <x:c r="A135" s="1"/>
      <x:c r="B135" s="1"/>
      <x:c r="C135" s="1"/>
      <x:c r="D135" s="6"/>
      <x:c r="E135" s="6"/>
      <x:c r="F135" s="6"/>
      <x:c r="G135" s="6"/>
      <x:c r="H135" s="6"/>
      <x:c r="I135" s="6"/>
      <x:c r="J135" s="6"/>
      <x:c r="K135" s="1"/>
      <x:c r="L135" s="10"/>
      <x:c r="M135" s="1"/>
    </x:row>
    <x:row r="136" ht="22" customHeight="1">
      <x:c r="A136" s="1"/>
      <x:c r="B136" s="1"/>
      <x:c r="C136" s="32" t="str">
        <x:v>Planning tiers: $75 typical, $110 large, $150 very large. Classify the serviceable property scope at first match; no income or postcode surcharge. Exact size boundaries require provider quote validation. A new service or bigger later job with the same provider creates no second finder fee.</x:v>
      </x:c>
      <x:c r="D136" s="33"/>
      <x:c r="E136" s="33"/>
      <x:c r="F136" s="33"/>
      <x:c r="G136" s="33"/>
      <x:c r="H136" s="33"/>
      <x:c r="I136" s="33"/>
      <x:c r="J136" s="33"/>
      <x:c r="K136" s="1"/>
      <x:c r="L136" s="1"/>
      <x:c r="M136" s="1"/>
    </x:row>
    <x:row r="137" ht="22" customHeight="1">
      <x:c r="A137" s="1"/>
      <x:c r="B137" s="1"/>
      <x:c r="C137" s="32"/>
      <x:c r="D137" s="33"/>
      <x:c r="E137" s="33"/>
      <x:c r="F137" s="33"/>
      <x:c r="G137" s="33"/>
      <x:c r="H137" s="33"/>
      <x:c r="I137" s="33"/>
      <x:c r="J137" s="33"/>
      <x:c r="K137" s="1"/>
      <x:c r="L137" s="1"/>
      <x:c r="M137" s="1"/>
    </x:row>
    <x:row r="138" ht="22" customHeight="1">
      <x:c r="A138" s="1"/>
      <x:c r="B138" s="1"/>
      <x:c r="C138" s="1"/>
      <x:c r="D138" s="6"/>
      <x:c r="E138" s="6"/>
      <x:c r="F138" s="6"/>
      <x:c r="G138" s="6"/>
      <x:c r="H138" s="6"/>
      <x:c r="I138" s="6"/>
      <x:c r="J138" s="6"/>
      <x:c r="K138" s="1"/>
      <x:c r="L138" s="1"/>
      <x:c r="M138" s="1"/>
    </x:row>
    <x:row r="139" ht="22" customHeight="1">
      <x:c r="A139" s="1"/>
      <x:c r="B139" s="1"/>
      <x:c r="C139" s="32" t="str">
        <x:v>Provider pays after first completed paid job; first-client waiver remains. New-customer property mix, with proportional waivers within each town, determines revenue. Prior $2.99 mode also restores a flat finder fee. No automatic adoption lift from higher pricing.</x:v>
      </x:c>
      <x:c r="D139" s="33"/>
      <x:c r="E139" s="33"/>
      <x:c r="F139" s="33"/>
      <x:c r="G139" s="33"/>
      <x:c r="H139" s="33"/>
      <x:c r="I139" s="33"/>
      <x:c r="J139" s="33"/>
      <x:c r="K139" s="1"/>
      <x:c r="L139" s="1"/>
      <x:c r="M139" s="1"/>
    </x:row>
    <x:row r="140" ht="22" customHeight="1">
      <x:c r="A140" s="1"/>
      <x:c r="B140" s="1"/>
      <x:c r="C140" s="32"/>
      <x:c r="D140" s="33"/>
      <x:c r="E140" s="33"/>
      <x:c r="F140" s="33"/>
      <x:c r="G140" s="33"/>
      <x:c r="H140" s="33"/>
      <x:c r="I140" s="33"/>
      <x:c r="J140" s="33"/>
      <x:c r="K140" s="1"/>
      <x:c r="L140" s="1"/>
      <x:c r="M140" s="1"/>
    </x:row>
    <x:row r="141" ht="22" customHeight="1">
      <x:c r="A141" s="1"/>
      <x:c r="B141" s="1"/>
      <x:c r="C141" s="1"/>
      <x:c r="D141" s="6"/>
      <x:c r="E141" s="6"/>
      <x:c r="F141" s="6"/>
      <x:c r="G141" s="6"/>
      <x:c r="H141" s="6"/>
      <x:c r="I141" s="6"/>
      <x:c r="J141" s="6"/>
      <x:c r="K141" s="1"/>
      <x:c r="L141" s="1"/>
      <x:c r="M141" s="1"/>
    </x:row>
    <x:row r="142" ht="22" customHeight="1">
      <x:c r="A142" s="1"/>
      <x:c r="B142" s="1"/>
      <x:c r="C142" s="1"/>
      <x:c r="D142" s="6"/>
      <x:c r="E142" s="6"/>
      <x:c r="F142" s="6"/>
      <x:c r="G142" s="6"/>
      <x:c r="H142" s="6"/>
      <x:c r="I142" s="6"/>
      <x:c r="J142" s="6"/>
      <x:c r="K142" s="1"/>
      <x:c r="L142" s="1"/>
      <x:c r="M142" s="1"/>
    </x:row>
    <x:row r="143" ht="22" customHeight="1">
      <x:c r="A143" s="1"/>
      <x:c r="B143" s="1"/>
      <x:c r="C143" s="5" t="str">
        <x:v>ACH platform pricing</x:v>
      </x:c>
      <x:c r="D143" s="26"/>
      <x:c r="E143" s="26"/>
      <x:c r="F143" s="26"/>
      <x:c r="G143" s="26"/>
      <x:c r="H143" s="26"/>
      <x:c r="I143" s="26"/>
      <x:c r="J143" s="26"/>
      <x:c r="K143" s="1"/>
      <x:c r="L143" s="1"/>
      <x:c r="M143" s="1"/>
    </x:row>
    <x:row r="144" ht="22" customHeight="1">
      <x:c r="A144" s="1"/>
      <x:c r="B144" s="1"/>
      <x:c r="C144" s="1" t="str">
        <x:v>ACH platform percentage</x:v>
      </x:c>
      <x:c r="D144" s="17" t="n">
        <x:v>0</x:v>
      </x:c>
      <x:c r="E144" s="6"/>
      <x:c r="F144" s="6"/>
      <x:c r="G144" s="6"/>
      <x:c r="H144" s="6"/>
      <x:c r="I144" s="6"/>
      <x:c r="J144" s="6"/>
      <x:c r="K144" s="1"/>
      <x:c r="L144" s="1"/>
      <x:c r="M144" s="1"/>
    </x:row>
    <x:row r="145" ht="22" customHeight="1">
      <x:c r="A145" s="1"/>
      <x:c r="B145" s="1"/>
      <x:c r="C145" s="1" t="str">
        <x:v>Active ACH platform percentage</x:v>
      </x:c>
      <x:c r="D145" s="16" t="n">
        <x:f>IF(D4="Proposed",D144,0)</x:f>
        <x:v>0</x:v>
      </x:c>
      <x:c r="E145" s="6"/>
      <x:c r="F145" s="6"/>
      <x:c r="G145" s="6"/>
      <x:c r="H145" s="6"/>
      <x:c r="I145" s="6"/>
      <x:c r="J145" s="6"/>
      <x:c r="K145" s="1"/>
      <x:c r="L145" s="1"/>
      <x:c r="M145" s="1"/>
    </x:row>
    <x:row r="146" ht="22" customHeight="1">
      <x:c r="A146" s="1"/>
      <x:c r="B146" s="1"/>
      <x:c r="C146" s="1"/>
      <x:c r="D146" s="6"/>
      <x:c r="E146" s="6"/>
      <x:c r="F146" s="6"/>
      <x:c r="G146" s="6"/>
      <x:c r="H146" s="6"/>
      <x:c r="I146" s="6"/>
      <x:c r="J146" s="6"/>
      <x:c r="K146" s="1"/>
      <x:c r="L146" s="1"/>
      <x:c r="M146" s="1"/>
    </x:row>
    <x:row r="147" ht="22" customHeight="1">
      <x:c r="A147" s="1"/>
      <x:c r="B147" s="1"/>
      <x:c r="C147" s="32" t="str">
        <x:v>Legacy comparison only. The selected forecast has no YardMatch service-payment flow, card mix, ACH mix or provider payout expense.</x:v>
      </x:c>
      <x:c r="D147" s="33"/>
      <x:c r="E147" s="33"/>
      <x:c r="F147" s="33"/>
      <x:c r="G147" s="33"/>
      <x:c r="H147" s="33"/>
      <x:c r="I147" s="33"/>
      <x:c r="J147" s="33"/>
      <x:c r="K147" s="1"/>
      <x:c r="L147" s="1"/>
      <x:c r="M147" s="1"/>
    </x:row>
    <x:row r="148" ht="22" customHeight="1">
      <x:c r="A148" s="1"/>
      <x:c r="B148" s="1"/>
      <x:c r="C148" s="32"/>
      <x:c r="D148" s="33"/>
      <x:c r="E148" s="33"/>
      <x:c r="F148" s="33"/>
      <x:c r="G148" s="33"/>
      <x:c r="H148" s="33"/>
      <x:c r="I148" s="33"/>
      <x:c r="J148" s="33"/>
      <x:c r="K148" s="1"/>
      <x:c r="L148" s="1"/>
      <x:c r="M148" s="1"/>
    </x:row>
    <x:row r="149" ht="22" customHeight="1">
      <x:c r="A149" s="1"/>
      <x:c r="B149" s="1"/>
      <x:c r="C149" s="1"/>
      <x:c r="D149" s="6"/>
      <x:c r="E149" s="6"/>
      <x:c r="F149" s="6"/>
      <x:c r="G149" s="6"/>
      <x:c r="H149" s="6"/>
      <x:c r="I149" s="6"/>
      <x:c r="J149" s="6"/>
      <x:c r="K149" s="1"/>
      <x:c r="L149" s="1"/>
      <x:c r="M149" s="1"/>
    </x:row>
    <x:row r="150" ht="22" customHeight="1">
      <x:c r="A150" s="1"/>
      <x:c r="B150" s="1"/>
      <x:c r="C150" s="1"/>
      <x:c r="D150" s="6"/>
      <x:c r="E150" s="6"/>
      <x:c r="F150" s="6"/>
      <x:c r="G150" s="6"/>
      <x:c r="H150" s="6"/>
      <x:c r="I150" s="6"/>
      <x:c r="J150" s="6"/>
      <x:c r="K150" s="1"/>
      <x:c r="L150" s="1"/>
      <x:c r="M150" s="1"/>
    </x:row>
  </x:sheetData>
  <x:mergeCells>
    <x:mergeCell ref="C100:J101"/>
    <x:mergeCell ref="C103:J104"/>
    <x:mergeCell ref="C106:J107"/>
    <x:mergeCell ref="C109:J110"/>
    <x:mergeCell ref="C120:J121"/>
    <x:mergeCell ref="C123:J124"/>
    <x:mergeCell ref="C126:J127"/>
    <x:mergeCell ref="C136:J137"/>
    <x:mergeCell ref="C139:J140"/>
    <x:mergeCell ref="C147:J148"/>
  </x:mergeCells>
  <x:dataValidations count="3">
    <x:dataValidation type="list" sqref="D3">
      <x:formula1>"Downside,Base,Upside"</x:formula1>
    </x:dataValidation>
    <x:dataValidation type="list" sqref="D4">
      <x:formula1>"Proposed,Prior $2.99"</x:formula1>
    </x:dataValidation>
    <x:dataValidation type="list" sqref="D130">
      <x:formula1>"Property tiers,Flat $45"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Operating forecast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Active case</x:v>
      </x:c>
      <x:c r="D3" s="59" t="str">
        <x:f>'Assumptions'!D3</x:f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"/>
      <x:c r="M5" s="1"/>
    </x:row>
    <x:row r="6" ht="22" customHeight="1">
      <x:c r="A6" s="1"/>
      <x:c r="B6" s="1"/>
      <x:c r="C6" s="1" t="str">
        <x:v>Opening paying households</x:v>
      </x:c>
      <x:c r="D6" s="11" t="n">
        <x:f>0</x:f>
        <x:v>0</x:v>
      </x:c>
      <x:c r="E6" s="11" t="n">
        <x:f>D10</x:f>
        <x:v>240</x:v>
      </x:c>
      <x:c r="F6" s="11" t="n">
        <x:f>E10</x:f>
        <x:v>1750</x:v>
      </x:c>
      <x:c r="G6" s="11" t="n">
        <x:f>F10</x:f>
        <x:v>8160</x:v>
      </x:c>
      <x:c r="H6" s="11" t="n">
        <x:f>G10</x:f>
        <x:v>26600</x:v>
      </x:c>
      <x:c r="I6" s="11" t="n">
        <x:f>H10</x:f>
        <x:v>72900</x:v>
      </x:c>
      <x:c r="J6" s="11" t="n">
        <x:f>I10</x:f>
        <x:v>178850</x:v>
      </x:c>
      <x:c r="K6" s="1"/>
      <x:c r="L6" s="1"/>
      <x:c r="M6" s="1"/>
    </x:row>
    <x:row r="7" ht="22" customHeight="1">
      <x:c r="A7" s="1"/>
      <x:c r="B7" s="1"/>
      <x:c r="C7" s="1" t="str">
        <x:v>New paying households</x:v>
      </x:c>
      <x:c r="D7" s="49" t="n">
        <x:f>'Assumptions'!D7</x:f>
        <x:v>240</x:v>
      </x:c>
      <x:c r="E7" s="49" t="n">
        <x:f>'Assumptions'!E7</x:f>
        <x:v>1582</x:v>
      </x:c>
      <x:c r="F7" s="49" t="n">
        <x:f>'Assumptions'!F7</x:f>
        <x:v>6847.5</x:v>
      </x:c>
      <x:c r="G7" s="49" t="n">
        <x:f>'Assumptions'!G7</x:f>
        <x:v>20235.2</x:v>
      </x:c>
      <x:c r="H7" s="49" t="n">
        <x:f>'Assumptions'!H7</x:f>
        <x:v>51620</x:v>
      </x:c>
      <x:c r="I7" s="49" t="n">
        <x:f>'Assumptions'!I7</x:f>
        <x:v>120530</x:v>
      </x:c>
      <x:c r="J7" s="49" t="n">
        <x:f>'Assumptions'!J7</x:f>
        <x:v>236920</x:v>
      </x:c>
      <x:c r="K7" s="1"/>
      <x:c r="L7" s="1"/>
      <x:c r="M7" s="1"/>
    </x:row>
    <x:row r="8" ht="22" customHeight="1">
      <x:c r="A8" s="1"/>
      <x:c r="B8" s="1"/>
      <x:c r="C8" s="1" t="str">
        <x:v>Retained households</x:v>
      </x:c>
      <x:c r="D8" s="49" t="n">
        <x:f>'National rollout'!D67</x:f>
        <x:v>0</x:v>
      </x:c>
      <x:c r="E8" s="49" t="n">
        <x:f>'National rollout'!E67</x:f>
        <x:v>168</x:v>
      </x:c>
      <x:c r="F8" s="49" t="n">
        <x:f>'National rollout'!F67</x:f>
        <x:v>1312.5</x:v>
      </x:c>
      <x:c r="G8" s="49" t="n">
        <x:f>'National rollout'!G67</x:f>
        <x:v>6364.8</x:v>
      </x:c>
      <x:c r="H8" s="49" t="n">
        <x:f>'National rollout'!H67</x:f>
        <x:v>21280</x:v>
      </x:c>
      <x:c r="I8" s="49" t="n">
        <x:f>'National rollout'!I67</x:f>
        <x:v>58320</x:v>
      </x:c>
      <x:c r="J8" s="49" t="n">
        <x:f>'National rollout'!J67</x:f>
        <x:v>143080</x:v>
      </x:c>
      <x:c r="K8" s="1"/>
      <x:c r="L8" s="1"/>
      <x:c r="M8" s="1"/>
    </x:row>
    <x:row r="9" ht="22" customHeight="1">
      <x:c r="A9" s="1"/>
      <x:c r="B9" s="1"/>
      <x:c r="C9" s="1" t="str">
        <x:v>Churned households</x:v>
      </x:c>
      <x:c r="D9" s="11" t="n">
        <x:f>D6-D8</x:f>
        <x:v>0</x:v>
      </x:c>
      <x:c r="E9" s="11" t="n">
        <x:f>E6-E8</x:f>
        <x:v>72</x:v>
      </x:c>
      <x:c r="F9" s="11" t="n">
        <x:f>F6-F8</x:f>
        <x:v>437.5</x:v>
      </x:c>
      <x:c r="G9" s="11" t="n">
        <x:f>G6-G8</x:f>
        <x:v>1795.1999999999998</x:v>
      </x:c>
      <x:c r="H9" s="11" t="n">
        <x:f>H6-H8</x:f>
        <x:v>5320</x:v>
      </x:c>
      <x:c r="I9" s="11" t="n">
        <x:f>I6-I8</x:f>
        <x:v>14580</x:v>
      </x:c>
      <x:c r="J9" s="11" t="n">
        <x:f>J6-J8</x:f>
        <x:v>35770</x:v>
      </x:c>
      <x:c r="K9" s="1"/>
      <x:c r="L9" s="1"/>
      <x:c r="M9" s="1"/>
    </x:row>
    <x:row r="10" ht="22" customHeight="1">
      <x:c r="A10" s="1"/>
      <x:c r="B10" s="1"/>
      <x:c r="C10" s="4" t="str">
        <x:v>Ending paying households</x:v>
      </x:c>
      <x:c r="D10" s="53" t="n">
        <x:f>'National rollout'!D69</x:f>
        <x:v>240</x:v>
      </x:c>
      <x:c r="E10" s="53" t="n">
        <x:f>'National rollout'!E69</x:f>
        <x:v>1750</x:v>
      </x:c>
      <x:c r="F10" s="53" t="n">
        <x:f>'National rollout'!F69</x:f>
        <x:v>8160</x:v>
      </x:c>
      <x:c r="G10" s="53" t="n">
        <x:f>'National rollout'!G69</x:f>
        <x:v>26600</x:v>
      </x:c>
      <x:c r="H10" s="53" t="n">
        <x:f>'National rollout'!H69</x:f>
        <x:v>72900</x:v>
      </x:c>
      <x:c r="I10" s="53" t="n">
        <x:f>'National rollout'!I69</x:f>
        <x:v>178850</x:v>
      </x:c>
      <x:c r="J10" s="53" t="n">
        <x:f>'National rollout'!J69</x:f>
        <x:v>380000</x:v>
      </x:c>
      <x:c r="K10" s="1"/>
      <x:c r="L10" s="1"/>
      <x:c r="M10" s="1"/>
    </x:row>
    <x:row r="11" ht="22" customHeight="1">
      <x:c r="A11" s="1"/>
      <x:c r="B11" s="1"/>
      <x:c r="C11" s="1" t="str">
        <x:v>Full-season equivalent households</x:v>
      </x:c>
      <x:c r="D11" s="49" t="n">
        <x:f>'National rollout'!D70</x:f>
        <x:v>120</x:v>
      </x:c>
      <x:c r="E11" s="49" t="n">
        <x:f>'National rollout'!E70</x:f>
        <x:v>959</x:v>
      </x:c>
      <x:c r="F11" s="49" t="n">
        <x:f>'National rollout'!F70</x:f>
        <x:v>4736.25</x:v>
      </x:c>
      <x:c r="G11" s="49" t="n">
        <x:f>'National rollout'!G70</x:f>
        <x:v>16482.4</x:v>
      </x:c>
      <x:c r="H11" s="49" t="n">
        <x:f>'National rollout'!H70</x:f>
        <x:v>47090</x:v>
      </x:c>
      <x:c r="I11" s="49" t="n">
        <x:f>'National rollout'!I70</x:f>
        <x:v>118585</x:v>
      </x:c>
      <x:c r="J11" s="49" t="n">
        <x:f>'National rollout'!J70</x:f>
        <x:v>261540</x:v>
      </x:c>
      <x:c r="K11" s="1"/>
      <x:c r="L11" s="1"/>
      <x:c r="M11" s="1"/>
    </x:row>
    <x:row r="12" ht="22" customHeight="1">
      <x:c r="A12" s="1"/>
      <x:c r="B12" s="1"/>
      <x:c r="C12" s="1" t="str">
        <x:v>Scheduled maintenance and project bookings</x:v>
      </x:c>
      <x:c r="D12" s="49" t="n">
        <x:f>D11*'Service mix'!D44</x:f>
        <x:v>2475.6</x:v>
      </x:c>
      <x:c r="E12" s="49" t="n">
        <x:f>E11*'Service mix'!E44</x:f>
        <x:v>19860.89</x:v>
      </x:c>
      <x:c r="F12" s="49" t="n">
        <x:f>F11*'Service mix'!F44</x:f>
        <x:v>98419.27500000001</x:v>
      </x:c>
      <x:c r="G12" s="49" t="n">
        <x:f>G11*'Service mix'!G44</x:f>
        <x:v>343822.864</x:v>
      </x:c>
      <x:c r="H12" s="49" t="n">
        <x:f>H11*'Service mix'!H44</x:f>
        <x:v>986064.6000000001</x:v>
      </x:c>
      <x:c r="I12" s="49" t="n">
        <x:f>I11*'Service mix'!I44</x:f>
        <x:v>2490877.925</x:v>
      </x:c>
      <x:c r="J12" s="49" t="n">
        <x:f>J11*'Service mix'!J44</x:f>
        <x:v>5513263.199999999</x:v>
      </x:c>
      <x:c r="K12" s="1"/>
      <x:c r="L12" s="1"/>
      <x:c r="M12" s="1"/>
    </x:row>
    <x:row r="13" ht="22" customHeight="1">
      <x:c r="A13" s="1"/>
      <x:c r="B13" s="1"/>
      <x:c r="C13" s="1" t="str">
        <x:v>Completed service bookings</x:v>
      </x:c>
      <x:c r="D13" s="49" t="n">
        <x:f>D12*'Assumptions'!D22*'Assumptions'!D27</x:f>
        <x:v>2116.638</x:v>
      </x:c>
      <x:c r="E13" s="49" t="n">
        <x:f>E12*'Assumptions'!E22*'Assumptions'!E27</x:f>
        <x:v>16981.06095</x:v>
      </x:c>
      <x:c r="F13" s="49" t="n">
        <x:f>F12*'Assumptions'!F22*'Assumptions'!F27</x:f>
        <x:v>84148.480125</x:v>
      </x:c>
      <x:c r="G13" s="49" t="n">
        <x:f>G12*'Assumptions'!G22*'Assumptions'!G27</x:f>
        <x:v>293968.54872</x:v>
      </x:c>
      <x:c r="H13" s="49" t="n">
        <x:f>H12*'Assumptions'!H22*'Assumptions'!H27</x:f>
        <x:v>843085.2330000001</x:v>
      </x:c>
      <x:c r="I13" s="49" t="n">
        <x:f>I12*'Assumptions'!I22*'Assumptions'!I27</x:f>
        <x:v>2129700.625875</x:v>
      </x:c>
      <x:c r="J13" s="49" t="n">
        <x:f>J12*'Assumptions'!J22*'Assumptions'!J27</x:f>
        <x:v>4713840.035999999</x:v>
      </x:c>
      <x:c r="K13" s="1"/>
      <x:c r="L13" s="1"/>
      <x:c r="M13" s="1"/>
    </x:row>
    <x:row r="14" ht="22" customHeight="1">
      <x:c r="A14" s="1"/>
      <x:c r="B14" s="1"/>
      <x:c r="C14" s="1" t="str">
        <x:v>Gross booking value / paid directly to providers</x:v>
      </x:c>
      <x:c r="D14" s="50" t="n">
        <x:f>D13*'Service mix'!D46</x:f>
        <x:v>194344.92000000007</x:v>
      </x:c>
      <x:c r="E14" s="50" t="n">
        <x:f>E13*'Service mix'!E46</x:f>
        <x:v>1719456.2597113545</x:v>
      </x:c>
      <x:c r="F14" s="50" t="n">
        <x:f>F13*'Service mix'!F46</x:f>
        <x:v>8923693.476501074</x:v>
      </x:c>
      <x:c r="G14" s="50" t="n">
        <x:f>G13*'Service mix'!G46</x:f>
        <x:v>33057136.942679115</x:v>
      </x:c>
      <x:c r="H14" s="50" t="n">
        <x:f>H13*'Service mix'!H46</x:f>
        <x:v>101613143.62093784</x:v>
      </x:c>
      <x:c r="I14" s="50" t="n">
        <x:f>I13*'Service mix'!I46</x:f>
        <x:v>275336567.54979545</x:v>
      </x:c>
      <x:c r="J14" s="50" t="n">
        <x:f>J13*'Service mix'!J46</x:f>
        <x:v>653774421.4619751</x:v>
      </x:c>
      <x:c r="K14" s="1"/>
      <x:c r="L14" s="1"/>
      <x:c r="M14" s="1"/>
    </x:row>
    <x:row r="15" ht="22" customHeight="1">
      <x:c r="A15" s="1"/>
      <x:c r="B15" s="1"/>
      <x:c r="C15" s="1" t="str">
        <x:v>Weighted average service price</x:v>
      </x:c>
      <x:c r="D15" s="63" t="n">
        <x:f>'Service mix'!D46</x:f>
        <x:v>91.81774115365975</x:v>
      </x:c>
      <x:c r="E15" s="63" t="n">
        <x:f>'Service mix'!E46</x:f>
        <x:v>101.2572927436171</x:v>
      </x:c>
      <x:c r="F15" s="63" t="n">
        <x:f>'Service mix'!F46</x:f>
        <x:v>106.04699530217539</x:v>
      </x:c>
      <x:c r="G15" s="63" t="n">
        <x:f>'Service mix'!G46</x:f>
        <x:v>112.45127101731372</x:v>
      </x:c>
      <x:c r="H15" s="63" t="n">
        <x:f>'Service mix'!H46</x:f>
        <x:v>120.52535098896439</x:v>
      </x:c>
      <x:c r="I15" s="63" t="n">
        <x:f>'Service mix'!I46</x:f>
        <x:v>129.28416520358198</x:v>
      </x:c>
      <x:c r="J15" s="63" t="n">
        <x:f>'Service mix'!J46</x:f>
        <x:v>138.69253442396092</x:v>
      </x:c>
      <x:c r="K15" s="1"/>
      <x:c r="L15" s="1"/>
      <x:c r="M15" s="1"/>
    </x:row>
    <x:row r="16" ht="22" customHeight="1">
      <x:c r="A16" s="1"/>
      <x:c r="B16" s="1"/>
      <x:c r="C16" s="1" t="str">
        <x:v>Opening providers</x:v>
      </x:c>
      <x:c r="D16" s="11" t="n">
        <x:f>0</x:f>
        <x:v>0</x:v>
      </x:c>
      <x:c r="E16" s="11" t="n">
        <x:f>D18</x:f>
        <x:v>6</x:v>
      </x:c>
      <x:c r="F16" s="11" t="n">
        <x:f>E18</x:f>
        <x:v>44</x:v>
      </x:c>
      <x:c r="G16" s="11" t="n">
        <x:f>F18</x:f>
        <x:v>204</x:v>
      </x:c>
      <x:c r="H16" s="11" t="n">
        <x:f>G18</x:f>
        <x:v>665</x:v>
      </x:c>
      <x:c r="I16" s="11" t="n">
        <x:f>H18</x:f>
        <x:v>1823</x:v>
      </x:c>
      <x:c r="J16" s="11" t="n">
        <x:f>I18</x:f>
        <x:v>4472</x:v>
      </x:c>
      <x:c r="K16" s="1"/>
      <x:c r="L16" s="1"/>
      <x:c r="M16" s="1"/>
    </x:row>
    <x:row r="17" ht="22" customHeight="1">
      <x:c r="A17" s="1"/>
      <x:c r="B17" s="1"/>
      <x:c r="C17" s="1" t="str">
        <x:v>Retained providers</x:v>
      </x:c>
      <x:c r="D17" s="49" t="n">
        <x:f>'National rollout'!D73</x:f>
        <x:v>0</x:v>
      </x:c>
      <x:c r="E17" s="49" t="n">
        <x:f>'National rollout'!E73</x:f>
        <x:v>5.1</x:v>
      </x:c>
      <x:c r="F17" s="49" t="n">
        <x:f>'National rollout'!F73</x:f>
        <x:v>37.4</x:v>
      </x:c>
      <x:c r="G17" s="49" t="n">
        <x:f>'National rollout'!G73</x:f>
        <x:v>173.4</x:v>
      </x:c>
      <x:c r="H17" s="49" t="n">
        <x:f>'National rollout'!H73</x:f>
        <x:v>565.25</x:v>
      </x:c>
      <x:c r="I17" s="49" t="n">
        <x:f>'National rollout'!I73</x:f>
        <x:v>1549.55</x:v>
      </x:c>
      <x:c r="J17" s="49" t="n">
        <x:f>'National rollout'!J73</x:f>
        <x:v>3801.2</x:v>
      </x:c>
      <x:c r="K17" s="1"/>
      <x:c r="L17" s="1"/>
      <x:c r="M17" s="1"/>
    </x:row>
    <x:row r="18" ht="22" customHeight="1">
      <x:c r="A18" s="1"/>
      <x:c r="B18" s="1"/>
      <x:c r="C18" s="1" t="str">
        <x:v>Ending providers</x:v>
      </x:c>
      <x:c r="D18" s="49" t="n">
        <x:f>'National rollout'!D72</x:f>
        <x:v>6</x:v>
      </x:c>
      <x:c r="E18" s="49" t="n">
        <x:f>'National rollout'!E72</x:f>
        <x:v>44</x:v>
      </x:c>
      <x:c r="F18" s="49" t="n">
        <x:f>'National rollout'!F72</x:f>
        <x:v>204</x:v>
      </x:c>
      <x:c r="G18" s="49" t="n">
        <x:f>'National rollout'!G72</x:f>
        <x:v>665</x:v>
      </x:c>
      <x:c r="H18" s="49" t="n">
        <x:f>'National rollout'!H72</x:f>
        <x:v>1823</x:v>
      </x:c>
      <x:c r="I18" s="49" t="n">
        <x:f>'National rollout'!I72</x:f>
        <x:v>4472</x:v>
      </x:c>
      <x:c r="J18" s="49" t="n">
        <x:f>'National rollout'!J72</x:f>
        <x:v>9500</x:v>
      </x:c>
      <x:c r="K18" s="1"/>
      <x:c r="L18" s="1"/>
      <x:c r="M18" s="1"/>
    </x:row>
    <x:row r="19" ht="22" customHeight="1">
      <x:c r="A19" s="1"/>
      <x:c r="B19" s="1"/>
      <x:c r="C19" s="1" t="str">
        <x:v>New/replacement providers</x:v>
      </x:c>
      <x:c r="D19" s="49" t="n">
        <x:f>'National rollout'!D74</x:f>
        <x:v>6</x:v>
      </x:c>
      <x:c r="E19" s="49" t="n">
        <x:f>'National rollout'!E74</x:f>
        <x:v>38.9</x:v>
      </x:c>
      <x:c r="F19" s="49" t="n">
        <x:f>'National rollout'!F74</x:f>
        <x:v>166.6</x:v>
      </x:c>
      <x:c r="G19" s="49" t="n">
        <x:f>'National rollout'!G74</x:f>
        <x:v>491.6</x:v>
      </x:c>
      <x:c r="H19" s="49" t="n">
        <x:f>'National rollout'!H74</x:f>
        <x:v>1257.75</x:v>
      </x:c>
      <x:c r="I19" s="49" t="n">
        <x:f>'National rollout'!I74</x:f>
        <x:v>2922.45</x:v>
      </x:c>
      <x:c r="J19" s="49" t="n">
        <x:f>'National rollout'!J74</x:f>
        <x:v>5698.8</x:v>
      </x:c>
      <x:c r="K19" s="1"/>
      <x:c r="L19" s="1"/>
      <x:c r="M19" s="1"/>
    </x:row>
    <x:row r="20" ht="22" customHeight="1">
      <x:c r="A20" s="1"/>
      <x:c r="B20" s="1"/>
      <x:c r="C20" s="1" t="str">
        <x:v>Average active providers</x:v>
      </x:c>
      <x:c r="D20" s="49" t="n">
        <x:f>'National rollout'!D75</x:f>
        <x:v>3</x:v>
      </x:c>
      <x:c r="E20" s="49" t="n">
        <x:f>'National rollout'!E75</x:f>
        <x:v>24.549999999999997</x:v>
      </x:c>
      <x:c r="F20" s="49" t="n">
        <x:f>'National rollout'!F75</x:f>
        <x:v>120.69999999999999</x:v>
      </x:c>
      <x:c r="G20" s="49" t="n">
        <x:f>'National rollout'!G75</x:f>
        <x:v>419.20000000000005</x:v>
      </x:c>
      <x:c r="H20" s="49" t="n">
        <x:f>'National rollout'!H75</x:f>
        <x:v>1194.125</x:v>
      </x:c>
      <x:c r="I20" s="49" t="n">
        <x:f>'National rollout'!I75</x:f>
        <x:v>3010.7749999999996</x:v>
      </x:c>
      <x:c r="J20" s="49" t="n">
        <x:f>'National rollout'!J75</x:f>
        <x:v>6650.6</x:v>
      </x:c>
      <x:c r="K20" s="1"/>
      <x:c r="L20" s="1"/>
      <x:c r="M20" s="1"/>
    </x:row>
    <x:row r="21" ht="22" customHeight="1">
      <x:c r="A21" s="1"/>
      <x:c r="B21" s="1"/>
      <x:c r="C21" s="1" t="str">
        <x:v>New customer/provider pairs</x:v>
      </x:c>
      <x:c r="D21" s="11" t="n">
        <x:f>D7</x:f>
        <x:v>240</x:v>
      </x:c>
      <x:c r="E21" s="11" t="n">
        <x:f>E7</x:f>
        <x:v>1582</x:v>
      </x:c>
      <x:c r="F21" s="11" t="n">
        <x:f>F7</x:f>
        <x:v>6847.5</x:v>
      </x:c>
      <x:c r="G21" s="11" t="n">
        <x:f>G7</x:f>
        <x:v>20235.2</x:v>
      </x:c>
      <x:c r="H21" s="11" t="n">
        <x:f>H7</x:f>
        <x:v>51620</x:v>
      </x:c>
      <x:c r="I21" s="11" t="n">
        <x:f>I7</x:f>
        <x:v>120530</x:v>
      </x:c>
      <x:c r="J21" s="11" t="n">
        <x:f>J7</x:f>
        <x:v>236920</x:v>
      </x:c>
      <x:c r="K21" s="1"/>
      <x:c r="L21" s="1"/>
      <x:c r="M21" s="1"/>
    </x:row>
    <x:row r="22" ht="22" customHeight="1">
      <x:c r="A22" s="1"/>
      <x:c r="B22" s="1"/>
      <x:c r="C22" s="1" t="str">
        <x:v>Welcome finder-fee waivers</x:v>
      </x:c>
      <x:c r="D22" s="49" t="n">
        <x:f>'National rollout'!D84</x:f>
        <x:v>6</x:v>
      </x:c>
      <x:c r="E22" s="49" t="n">
        <x:f>'National rollout'!E84</x:f>
        <x:v>38.9</x:v>
      </x:c>
      <x:c r="F22" s="49" t="n">
        <x:f>'National rollout'!F84</x:f>
        <x:v>166.6</x:v>
      </x:c>
      <x:c r="G22" s="49" t="n">
        <x:f>'National rollout'!G84</x:f>
        <x:v>491.6</x:v>
      </x:c>
      <x:c r="H22" s="49" t="n">
        <x:f>'National rollout'!H84</x:f>
        <x:v>1257.75</x:v>
      </x:c>
      <x:c r="I22" s="49" t="n">
        <x:f>'National rollout'!I84</x:f>
        <x:v>2922.45</x:v>
      </x:c>
      <x:c r="J22" s="49" t="n">
        <x:f>'National rollout'!J84</x:f>
        <x:v>5698.8</x:v>
      </x:c>
      <x:c r="K22" s="1"/>
      <x:c r="L22" s="1"/>
      <x:c r="M22" s="1"/>
    </x:row>
    <x:row r="23" ht="22" customHeight="1">
      <x:c r="A23" s="1"/>
      <x:c r="B23" s="1"/>
      <x:c r="C23" s="1"/>
      <x:c r="D23" s="6"/>
      <x:c r="E23" s="6"/>
      <x:c r="F23" s="6"/>
      <x:c r="G23" s="6"/>
      <x:c r="H23" s="6"/>
      <x:c r="I23" s="6"/>
      <x:c r="J23" s="6"/>
      <x:c r="K23" s="1"/>
      <x:c r="L23" s="1"/>
      <x:c r="M23" s="1"/>
    </x:row>
    <x:row r="24" ht="22" customHeight="1">
      <x:c r="A24" s="1"/>
      <x:c r="B24" s="1"/>
      <x:c r="C24" s="1" t="str">
        <x:v>Finder-fee revenue</x:v>
      </x:c>
      <x:c r="D24" s="50" t="n">
        <x:f>'National rollout'!D85</x:f>
        <x:v>21352.5</x:v>
      </x:c>
      <x:c r="E24" s="50" t="n">
        <x:f>'National rollout'!E85</x:f>
        <x:v>140807.875</x:v>
      </x:c>
      <x:c r="F24" s="50" t="n">
        <x:f>'National rollout'!F85</x:f>
        <x:v>609632.125</x:v>
      </x:c>
      <x:c r="G24" s="50" t="n">
        <x:f>'National rollout'!G85</x:f>
        <x:v>1801603.5000000002</x:v>
      </x:c>
      <x:c r="H24" s="50" t="n">
        <x:f>'National rollout'!H85</x:f>
        <x:v>4595555.3125</x:v>
      </x:c>
      <x:c r="I24" s="50" t="n">
        <x:f>'National rollout'!I85</x:f>
        <x:v>10731688.9375</x:v>
      </x:c>
      <x:c r="J24" s="50" t="n">
        <x:f>'National rollout'!J85</x:f>
        <x:v>21098934.5</x:v>
      </x:c>
      <x:c r="K24" s="1"/>
      <x:c r="L24" s="1"/>
      <x:c r="M24" s="1"/>
    </x:row>
    <x:row r="25" ht="22" customHeight="1">
      <x:c r="A25" s="1"/>
      <x:c r="B25" s="1"/>
      <x:c r="C25" s="1" t="str">
        <x:v>Recurring service-fee revenue</x:v>
      </x:c>
      <x:c r="D25" s="50" t="n">
        <x:f>D13*'Service mix'!D85</x:f>
        <x:v>0</x:v>
      </x:c>
      <x:c r="E25" s="50" t="n">
        <x:f>E13*'Service mix'!E85</x:f>
        <x:v>0</x:v>
      </x:c>
      <x:c r="F25" s="50" t="n">
        <x:f>F13*'Service mix'!F85</x:f>
        <x:v>0</x:v>
      </x:c>
      <x:c r="G25" s="50" t="n">
        <x:f>G13*'Service mix'!G85</x:f>
        <x:v>0</x:v>
      </x:c>
      <x:c r="H25" s="50" t="n">
        <x:f>H13*'Service mix'!H85</x:f>
        <x:v>0</x:v>
      </x:c>
      <x:c r="I25" s="50" t="n">
        <x:f>I13*'Service mix'!I85</x:f>
        <x:v>0</x:v>
      </x:c>
      <x:c r="J25" s="50" t="n">
        <x:f>J13*'Service mix'!J85</x:f>
        <x:v>0</x:v>
      </x:c>
      <x:c r="K25" s="1"/>
      <x:c r="L25" s="1"/>
      <x:c r="M25" s="1"/>
    </x:row>
    <x:row r="26" ht="22" customHeight="1">
      <x:c r="A26" s="1"/>
      <x:c r="B26" s="1"/>
      <x:c r="C26" s="4" t="str">
        <x:v>Total net revenue</x:v>
      </x:c>
      <x:c r="D26" s="24" t="n">
        <x:f>SUM(D24:D25)+SUM(D87:D88)</x:f>
        <x:v>21352.5</x:v>
      </x:c>
      <x:c r="E26" s="24" t="n">
        <x:f>SUM(E24:E25)+SUM(E87:E88)</x:f>
        <x:v>143080.00696</x:v>
      </x:c>
      <x:c r="F26" s="24" t="n">
        <x:f>SUM(F24:F25)+SUM(F87:F88)</x:f>
        <x:v>629191.89796</x:v>
      </x:c>
      <x:c r="G26" s="24" t="n">
        <x:f>SUM(G24:G25)+SUM(G87:G88)</x:f>
        <x:v>1905967.1966400002</x:v>
      </x:c>
      <x:c r="H26" s="24" t="n">
        <x:f>SUM(H24:H25)+SUM(H87:H88)</x:f>
        <x:v>4982718.3412</x:v>
      </x:c>
      <x:c r="I26" s="24" t="n">
        <x:f>SUM(I24:I25)+SUM(I87:I88)</x:f>
        <x:v>11917105.72222</x:v>
      </x:c>
      <x:c r="J26" s="24" t="n">
        <x:f>SUM(J24:J25)+SUM(J87:J88)</x:f>
        <x:v>24180450.106399998</x:v>
      </x:c>
      <x:c r="K26" s="1"/>
      <x:c r="L26" s="1"/>
      <x:c r="M26" s="1"/>
    </x:row>
    <x:row r="27" ht="22" customHeight="1">
      <x:c r="A27" s="1"/>
      <x:c r="B27" s="1"/>
      <x:c r="C27" s="1" t="str">
        <x:v>Provider collections before business costs</x:v>
      </x:c>
      <x:c r="D27" s="22" t="n">
        <x:f>D14</x:f>
        <x:v>194344.92000000007</x:v>
      </x:c>
      <x:c r="E27" s="22" t="n">
        <x:f>E14</x:f>
        <x:v>1719456.2597113545</x:v>
      </x:c>
      <x:c r="F27" s="22" t="n">
        <x:f>F14</x:f>
        <x:v>8923693.476501074</x:v>
      </x:c>
      <x:c r="G27" s="22" t="n">
        <x:f>G14</x:f>
        <x:v>33057136.942679115</x:v>
      </x:c>
      <x:c r="H27" s="22" t="n">
        <x:f>H14</x:f>
        <x:v>101613143.62093784</x:v>
      </x:c>
      <x:c r="I27" s="22" t="n">
        <x:f>I14</x:f>
        <x:v>275336567.54979545</x:v>
      </x:c>
      <x:c r="J27" s="22" t="n">
        <x:f>J14</x:f>
        <x:v>653774421.4619751</x:v>
      </x:c>
      <x:c r="K27" s="1"/>
      <x:c r="L27" s="1"/>
      <x:c r="M27" s="1"/>
    </x:row>
    <x:row r="28" ht="22" customHeight="1">
      <x:c r="A28" s="1"/>
      <x:c r="B28" s="1"/>
      <x:c r="C28" s="1" t="str">
        <x:v>Service-payment processing recovery / excluded</x:v>
      </x:c>
      <x:c r="D28" s="22" t="n">
        <x:f>0</x:f>
        <x:v>0</x:v>
      </x:c>
      <x:c r="E28" s="22" t="n">
        <x:f>0</x:f>
        <x:v>0</x:v>
      </x:c>
      <x:c r="F28" s="22" t="n">
        <x:f>0</x:f>
        <x:v>0</x:v>
      </x:c>
      <x:c r="G28" s="22" t="n">
        <x:f>0</x:f>
        <x:v>0</x:v>
      </x:c>
      <x:c r="H28" s="22" t="n">
        <x:f>0</x:f>
        <x:v>0</x:v>
      </x:c>
      <x:c r="I28" s="22" t="n">
        <x:f>0</x:f>
        <x:v>0</x:v>
      </x:c>
      <x:c r="J28" s="22" t="n">
        <x:f>0</x:f>
        <x:v>0</x:v>
      </x:c>
      <x:c r="K28" s="1"/>
      <x:c r="L28" s="1"/>
      <x:c r="M28" s="1"/>
    </x:row>
    <x:row r="29" ht="22" customHeight="1">
      <x:c r="A29" s="1"/>
      <x:c r="B29" s="1"/>
      <x:c r="C29" s="1" t="str">
        <x:v>Card service-payment processing / excluded</x:v>
      </x:c>
      <x:c r="D29" s="22" t="n">
        <x:f>0</x:f>
        <x:v>0</x:v>
      </x:c>
      <x:c r="E29" s="22" t="n">
        <x:f>0</x:f>
        <x:v>0</x:v>
      </x:c>
      <x:c r="F29" s="22" t="n">
        <x:f>0</x:f>
        <x:v>0</x:v>
      </x:c>
      <x:c r="G29" s="22" t="n">
        <x:f>0</x:f>
        <x:v>0</x:v>
      </x:c>
      <x:c r="H29" s="22" t="n">
        <x:f>0</x:f>
        <x:v>0</x:v>
      </x:c>
      <x:c r="I29" s="22" t="n">
        <x:f>0</x:f>
        <x:v>0</x:v>
      </x:c>
      <x:c r="J29" s="22" t="n">
        <x:f>0</x:f>
        <x:v>0</x:v>
      </x:c>
      <x:c r="K29" s="1"/>
      <x:c r="L29" s="1"/>
      <x:c r="M29" s="1"/>
    </x:row>
    <x:row r="30" ht="22" customHeight="1">
      <x:c r="A30" s="1"/>
      <x:c r="B30" s="1"/>
      <x:c r="C30" s="1" t="str">
        <x:v>ACH service-payment processing / excluded</x:v>
      </x:c>
      <x:c r="D30" s="22" t="n">
        <x:f>0</x:f>
        <x:v>0</x:v>
      </x:c>
      <x:c r="E30" s="22" t="n">
        <x:f>0</x:f>
        <x:v>0</x:v>
      </x:c>
      <x:c r="F30" s="22" t="n">
        <x:f>0</x:f>
        <x:v>0</x:v>
      </x:c>
      <x:c r="G30" s="22" t="n">
        <x:f>0</x:f>
        <x:v>0</x:v>
      </x:c>
      <x:c r="H30" s="22" t="n">
        <x:f>0</x:f>
        <x:v>0</x:v>
      </x:c>
      <x:c r="I30" s="22" t="n">
        <x:f>0</x:f>
        <x:v>0</x:v>
      </x:c>
      <x:c r="J30" s="22" t="n">
        <x:f>0</x:f>
        <x:v>0</x:v>
      </x:c>
      <x:c r="K30" s="1"/>
      <x:c r="L30" s="1"/>
      <x:c r="M30" s="1"/>
    </x:row>
    <x:row r="31" ht="22" customHeight="1">
      <x:c r="A31" s="1"/>
      <x:c r="B31" s="1"/>
      <x:c r="C31" s="1" t="str">
        <x:v>Connect volume cost / excluded</x:v>
      </x:c>
      <x:c r="D31" s="22" t="n">
        <x:f>0</x:f>
        <x:v>0</x:v>
      </x:c>
      <x:c r="E31" s="22" t="n">
        <x:f>0</x:f>
        <x:v>0</x:v>
      </x:c>
      <x:c r="F31" s="22" t="n">
        <x:f>0</x:f>
        <x:v>0</x:v>
      </x:c>
      <x:c r="G31" s="22" t="n">
        <x:f>0</x:f>
        <x:v>0</x:v>
      </x:c>
      <x:c r="H31" s="22" t="n">
        <x:f>0</x:f>
        <x:v>0</x:v>
      </x:c>
      <x:c r="I31" s="22" t="n">
        <x:f>0</x:f>
        <x:v>0</x:v>
      </x:c>
      <x:c r="J31" s="22" t="n">
        <x:f>0</x:f>
        <x:v>0</x:v>
      </x:c>
      <x:c r="K31" s="1"/>
      <x:c r="L31" s="1"/>
      <x:c r="M31" s="1"/>
    </x:row>
    <x:row r="32" ht="22" customHeight="1">
      <x:c r="A32" s="1"/>
      <x:c r="B32" s="1"/>
      <x:c r="C32" s="1" t="str">
        <x:v>Connect payout cost / excluded</x:v>
      </x:c>
      <x:c r="D32" s="22" t="n">
        <x:f>0</x:f>
        <x:v>0</x:v>
      </x:c>
      <x:c r="E32" s="22" t="n">
        <x:f>0</x:f>
        <x:v>0</x:v>
      </x:c>
      <x:c r="F32" s="22" t="n">
        <x:f>0</x:f>
        <x:v>0</x:v>
      </x:c>
      <x:c r="G32" s="22" t="n">
        <x:f>0</x:f>
        <x:v>0</x:v>
      </x:c>
      <x:c r="H32" s="22" t="n">
        <x:f>0</x:f>
        <x:v>0</x:v>
      </x:c>
      <x:c r="I32" s="22" t="n">
        <x:f>0</x:f>
        <x:v>0</x:v>
      </x:c>
      <x:c r="J32" s="22" t="n">
        <x:f>0</x:f>
        <x:v>0</x:v>
      </x:c>
      <x:c r="K32" s="1"/>
      <x:c r="L32" s="1"/>
      <x:c r="M32" s="1"/>
    </x:row>
    <x:row r="33" ht="22" customHeight="1">
      <x:c r="A33" s="1"/>
      <x:c r="B33" s="1"/>
      <x:c r="C33" s="1" t="str">
        <x:v>Connected-account cost / excluded</x:v>
      </x:c>
      <x:c r="D33" s="22" t="n">
        <x:f>0</x:f>
        <x:v>0</x:v>
      </x:c>
      <x:c r="E33" s="22" t="n">
        <x:f>0</x:f>
        <x:v>0</x:v>
      </x:c>
      <x:c r="F33" s="22" t="n">
        <x:f>0</x:f>
        <x:v>0</x:v>
      </x:c>
      <x:c r="G33" s="22" t="n">
        <x:f>0</x:f>
        <x:v>0</x:v>
      </x:c>
      <x:c r="H33" s="22" t="n">
        <x:f>0</x:f>
        <x:v>0</x:v>
      </x:c>
      <x:c r="I33" s="22" t="n">
        <x:f>0</x:f>
        <x:v>0</x:v>
      </x:c>
      <x:c r="J33" s="22" t="n">
        <x:f>0</x:f>
        <x:v>0</x:v>
      </x:c>
      <x:c r="K33" s="1"/>
      <x:c r="L33" s="1"/>
      <x:c r="M33" s="1"/>
    </x:row>
    <x:row r="34" ht="22" customHeight="1">
      <x:c r="A34" s="1"/>
      <x:c r="B34" s="1"/>
      <x:c r="C34" s="1" t="str">
        <x:v>New service-payment bank links / excluded</x:v>
      </x:c>
      <x:c r="D34" s="11" t="n">
        <x:f>0</x:f>
        <x:v>0</x:v>
      </x:c>
      <x:c r="E34" s="11" t="n">
        <x:f>0</x:f>
        <x:v>0</x:v>
      </x:c>
      <x:c r="F34" s="11" t="n">
        <x:f>0</x:f>
        <x:v>0</x:v>
      </x:c>
      <x:c r="G34" s="11" t="n">
        <x:f>0</x:f>
        <x:v>0</x:v>
      </x:c>
      <x:c r="H34" s="11" t="n">
        <x:f>0</x:f>
        <x:v>0</x:v>
      </x:c>
      <x:c r="I34" s="11" t="n">
        <x:f>0</x:f>
        <x:v>0</x:v>
      </x:c>
      <x:c r="J34" s="11" t="n">
        <x:f>0</x:f>
        <x:v>0</x:v>
      </x:c>
      <x:c r="K34" s="1"/>
      <x:c r="L34" s="1"/>
      <x:c r="M34" s="1"/>
    </x:row>
    <x:row r="35" ht="22" customHeight="1">
      <x:c r="A35" s="1"/>
      <x:c r="B35" s="1"/>
      <x:c r="C35" s="1" t="str">
        <x:v>Bank verification / excluded</x:v>
      </x:c>
      <x:c r="D35" s="22" t="n">
        <x:f>0</x:f>
        <x:v>0</x:v>
      </x:c>
      <x:c r="E35" s="22" t="n">
        <x:f>0</x:f>
        <x:v>0</x:v>
      </x:c>
      <x:c r="F35" s="22" t="n">
        <x:f>0</x:f>
        <x:v>0</x:v>
      </x:c>
      <x:c r="G35" s="22" t="n">
        <x:f>0</x:f>
        <x:v>0</x:v>
      </x:c>
      <x:c r="H35" s="22" t="n">
        <x:f>0</x:f>
        <x:v>0</x:v>
      </x:c>
      <x:c r="I35" s="22" t="n">
        <x:f>0</x:f>
        <x:v>0</x:v>
      </x:c>
      <x:c r="J35" s="22" t="n">
        <x:f>0</x:f>
        <x:v>0</x:v>
      </x:c>
      <x:c r="K35" s="1"/>
      <x:c r="L35" s="1"/>
      <x:c r="M35" s="1"/>
    </x:row>
    <x:row r="36" ht="22" customHeight="1">
      <x:c r="A36" s="1"/>
      <x:c r="B36" s="1"/>
      <x:c r="C36" s="1" t="str">
        <x:v>Variable support</x:v>
      </x:c>
      <x:c r="D36" s="50" t="n">
        <x:f>D13*'Assumptions'!$D$84</x:f>
        <x:v>317.4957</x:v>
      </x:c>
      <x:c r="E36" s="50" t="n">
        <x:f>E13*'Assumptions'!$D$84</x:f>
        <x:v>2547.1591424999997</x:v>
      </x:c>
      <x:c r="F36" s="50" t="n">
        <x:f>F13*'Assumptions'!$D$84</x:f>
        <x:v>12622.27201875</x:v>
      </x:c>
      <x:c r="G36" s="50" t="n">
        <x:f>G13*'Assumptions'!$D$84</x:f>
        <x:v>44095.282308</x:v>
      </x:c>
      <x:c r="H36" s="50" t="n">
        <x:f>H13*'Assumptions'!$D$84</x:f>
        <x:v>126462.78495000002</x:v>
      </x:c>
      <x:c r="I36" s="50" t="n">
        <x:f>I13*'Assumptions'!$D$84</x:f>
        <x:v>319455.09388124995</x:v>
      </x:c>
      <x:c r="J36" s="50" t="n">
        <x:f>J13*'Assumptions'!$D$84</x:f>
        <x:v>707076.0053999999</x:v>
      </x:c>
      <x:c r="K36" s="1"/>
      <x:c r="L36" s="1"/>
      <x:c r="M36" s="1"/>
    </x:row>
    <x:row r="37" ht="22" customHeight="1">
      <x:c r="A37" s="1"/>
      <x:c r="B37" s="1"/>
      <x:c r="C37" s="1" t="str">
        <x:v>Variable infrastructure</x:v>
      </x:c>
      <x:c r="D37" s="50" t="n">
        <x:f>D13*'Assumptions'!$D$85</x:f>
        <x:v>211.6638</x:v>
      </x:c>
      <x:c r="E37" s="50" t="n">
        <x:f>E13*'Assumptions'!$D$85</x:f>
        <x:v>1698.106095</x:v>
      </x:c>
      <x:c r="F37" s="50" t="n">
        <x:f>F13*'Assumptions'!$D$85</x:f>
        <x:v>8414.8480125</x:v>
      </x:c>
      <x:c r="G37" s="50" t="n">
        <x:f>G13*'Assumptions'!$D$85</x:f>
        <x:v>29396.854872000004</x:v>
      </x:c>
      <x:c r="H37" s="50" t="n">
        <x:f>H13*'Assumptions'!$D$85</x:f>
        <x:v>84308.52330000002</x:v>
      </x:c>
      <x:c r="I37" s="50" t="n">
        <x:f>I13*'Assumptions'!$D$85</x:f>
        <x:v>212970.0625875</x:v>
      </x:c>
      <x:c r="J37" s="50" t="n">
        <x:f>J13*'Assumptions'!$D$85</x:f>
        <x:v>471384.00359999994</x:v>
      </x:c>
      <x:c r="K37" s="1"/>
      <x:c r="L37" s="1"/>
      <x:c r="M37" s="1"/>
    </x:row>
    <x:row r="38" ht="22" customHeight="1">
      <x:c r="A38" s="1"/>
      <x:c r="B38" s="1"/>
      <x:c r="C38" s="1" t="str">
        <x:v>Marketplace payment-loss allowance / excluded</x:v>
      </x:c>
      <x:c r="D38" s="22" t="n">
        <x:f>0</x:f>
        <x:v>0</x:v>
      </x:c>
      <x:c r="E38" s="22" t="n">
        <x:f>0</x:f>
        <x:v>0</x:v>
      </x:c>
      <x:c r="F38" s="22" t="n">
        <x:f>0</x:f>
        <x:v>0</x:v>
      </x:c>
      <x:c r="G38" s="22" t="n">
        <x:f>0</x:f>
        <x:v>0</x:v>
      </x:c>
      <x:c r="H38" s="22" t="n">
        <x:f>0</x:f>
        <x:v>0</x:v>
      </x:c>
      <x:c r="I38" s="22" t="n">
        <x:f>0</x:f>
        <x:v>0</x:v>
      </x:c>
      <x:c r="J38" s="22" t="n">
        <x:f>0</x:f>
        <x:v>0</x:v>
      </x:c>
      <x:c r="K38" s="1"/>
      <x:c r="L38" s="1"/>
      <x:c r="M38" s="1"/>
    </x:row>
    <x:row r="39" ht="22" customHeight="1">
      <x:c r="A39" s="1"/>
      <x:c r="B39" s="1"/>
      <x:c r="C39" s="1" t="str">
        <x:v>Total cost of revenue</x:v>
      </x:c>
      <x:c r="D39" s="22" t="n">
        <x:f>SUM(D36:D37)+D89</x:f>
        <x:v>529.1595</x:v>
      </x:c>
      <x:c r="E39" s="22" t="n">
        <x:f>SUM(E36:E37)+E89</x:f>
        <x:v>4640.7127095</x:v>
      </x:c>
      <x:c r="F39" s="22" t="n">
        <x:f>SUM(F36:F37)+F89</x:f>
        <x:v>24458.35670325</x:v>
      </x:c>
      <x:c r="G39" s="22" t="n">
        <x:f>SUM(G36:G37)+G89</x:f>
        <x:v>91808.42722800002</x:v>
      </x:c>
      <x:c r="H39" s="22" t="n">
        <x:f>SUM(H36:H37)+H89</x:f>
        <x:v>278714.91909000004</x:v>
      </x:c>
      <x:c r="I39" s="22" t="n">
        <x:f>SUM(I36:I37)+I89</x:f>
        <x:v>740576.16997275</x:v>
      </x:c>
      <x:c r="J39" s="22" t="n">
        <x:f>SUM(J36:J37)+J89</x:f>
        <x:v>1721021.27748</x:v>
      </x:c>
      <x:c r="K39" s="1"/>
      <x:c r="L39" s="1"/>
      <x:c r="M39" s="1"/>
    </x:row>
    <x:row r="40" ht="22" customHeight="1">
      <x:c r="A40" s="1"/>
      <x:c r="B40" s="1"/>
      <x:c r="C40" s="4" t="str">
        <x:v>Gross profit</x:v>
      </x:c>
      <x:c r="D40" s="24" t="n">
        <x:f>D26-D39</x:f>
        <x:v>20823.3405</x:v>
      </x:c>
      <x:c r="E40" s="24" t="n">
        <x:f>E26-E39</x:f>
        <x:v>138439.2942505</x:v>
      </x:c>
      <x:c r="F40" s="24" t="n">
        <x:f>F26-F39</x:f>
        <x:v>604733.54125675</x:v>
      </x:c>
      <x:c r="G40" s="24" t="n">
        <x:f>G26-G39</x:f>
        <x:v>1814158.7694120002</x:v>
      </x:c>
      <x:c r="H40" s="24" t="n">
        <x:f>H26-H39</x:f>
        <x:v>4704003.42211</x:v>
      </x:c>
      <x:c r="I40" s="24" t="n">
        <x:f>I26-I39</x:f>
        <x:v>11176529.55224725</x:v>
      </x:c>
      <x:c r="J40" s="24" t="n">
        <x:f>J26-J39</x:f>
        <x:v>22459428.82892</x:v>
      </x:c>
      <x:c r="K40" s="1"/>
      <x:c r="L40" s="1"/>
      <x:c r="M40" s="1"/>
    </x:row>
    <x:row r="41" ht="22" customHeight="1">
      <x:c r="A41" s="1"/>
      <x:c r="B41" s="1"/>
      <x:c r="C41" s="1" t="str">
        <x:v>Gross margin</x:v>
      </x:c>
      <x:c r="D41" s="16" t="n">
        <x:f>IF(D26=0,0,D40/D26)</x:f>
        <x:v>0.9752179135932559</x:v>
      </x:c>
      <x:c r="E41" s="16" t="n">
        <x:f>IF(E26=0,0,E40/E26)</x:f>
        <x:v>0.9675656102616953</x:v>
      </x:c>
      <x:c r="F41" s="16" t="n">
        <x:f>IF(F26=0,0,F40/F26)</x:f>
        <x:v>0.9611273495692647</x:v>
      </x:c>
      <x:c r="G41" s="16" t="n">
        <x:f>IF(G26=0,0,G40/G26)</x:f>
        <x:v>0.9518310559647366</x:v>
      </x:c>
      <x:c r="H41" s="16" t="n">
        <x:f>IF(H26=0,0,H40/H26)</x:f>
        <x:v>0.9440636817085518</x:v>
      </x:c>
      <x:c r="I41" s="16" t="n">
        <x:f>IF(I26=0,0,I40/I26)</x:f>
        <x:v>0.9378560375954448</x:v>
      </x:c>
      <x:c r="J41" s="16" t="n">
        <x:f>IF(J26=0,0,J40/J26)</x:f>
        <x:v>0.9288259205305494</x:v>
      </x:c>
      <x:c r="K41" s="1"/>
      <x:c r="L41" s="1"/>
      <x:c r="M41" s="1"/>
    </x:row>
    <x:row r="42" ht="22" customHeight="1">
      <x:c r="A42" s="1"/>
      <x:c r="B42" s="1"/>
      <x:c r="C42" s="1"/>
      <x:c r="D42" s="6"/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22" customHeight="1">
      <x:c r="A43" s="1"/>
      <x:c r="B43" s="1"/>
      <x:c r="C43" s="1" t="str">
        <x:v>Customer acquisition spend</x:v>
      </x:c>
      <x:c r="D43" s="50" t="n">
        <x:f>'National rollout'!D76</x:f>
        <x:v>13200</x:v>
      </x:c>
      <x:c r="E43" s="50" t="n">
        <x:f>'National rollout'!E76</x:f>
        <x:v>79100</x:v>
      </x:c>
      <x:c r="F43" s="50" t="n">
        <x:f>'National rollout'!F76</x:f>
        <x:v>308137.5</x:v>
      </x:c>
      <x:c r="G43" s="50" t="n">
        <x:f>'National rollout'!G76</x:f>
        <x:v>809408</x:v>
      </x:c>
      <x:c r="H43" s="50" t="n">
        <x:f>'National rollout'!H76</x:f>
        <x:v>1806700</x:v>
      </x:c>
      <x:c r="I43" s="50" t="n">
        <x:f>'National rollout'!I76</x:f>
        <x:v>3856960</x:v>
      </x:c>
      <x:c r="J43" s="50" t="n">
        <x:f>'National rollout'!J76</x:f>
        <x:v>7107600</x:v>
      </x:c>
      <x:c r="K43" s="1"/>
      <x:c r="L43" s="1"/>
      <x:c r="M43" s="1"/>
    </x:row>
    <x:row r="44" ht="22" customHeight="1">
      <x:c r="A44" s="1"/>
      <x:c r="B44" s="1"/>
      <x:c r="C44" s="1" t="str">
        <x:v>Provider onboarding spend</x:v>
      </x:c>
      <x:c r="D44" s="50" t="n">
        <x:f>D19*'Assumptions'!$D$87</x:f>
        <x:v>450</x:v>
      </x:c>
      <x:c r="E44" s="50" t="n">
        <x:f>E19*'Assumptions'!$D$87</x:f>
        <x:v>2917.5</x:v>
      </x:c>
      <x:c r="F44" s="50" t="n">
        <x:f>F19*'Assumptions'!$D$87</x:f>
        <x:v>12495</x:v>
      </x:c>
      <x:c r="G44" s="50" t="n">
        <x:f>G19*'Assumptions'!$D$87</x:f>
        <x:v>36870</x:v>
      </x:c>
      <x:c r="H44" s="50" t="n">
        <x:f>H19*'Assumptions'!$D$87</x:f>
        <x:v>94331.25</x:v>
      </x:c>
      <x:c r="I44" s="50" t="n">
        <x:f>I19*'Assumptions'!$D$87</x:f>
        <x:v>219183.75</x:v>
      </x:c>
      <x:c r="J44" s="50" t="n">
        <x:f>J19*'Assumptions'!$D$87</x:f>
        <x:v>427410</x:v>
      </x:c>
      <x:c r="K44" s="1"/>
      <x:c r="L44" s="1"/>
      <x:c r="M44" s="1"/>
    </x:row>
    <x:row r="45" ht="22" customHeight="1">
      <x:c r="A45" s="1"/>
      <x:c r="B45" s="1"/>
      <x:c r="C45" s="4" t="str">
        <x:v>Contribution after acquisition</x:v>
      </x:c>
      <x:c r="D45" s="24" t="n">
        <x:f>D40-SUM(D43:D44)</x:f>
        <x:v>7173.340499999998</x:v>
      </x:c>
      <x:c r="E45" s="24" t="n">
        <x:f>E40-SUM(E43:E44)</x:f>
        <x:v>56421.79425050001</x:v>
      </x:c>
      <x:c r="F45" s="24" t="n">
        <x:f>F40-SUM(F43:F44)</x:f>
        <x:v>284101.04125675</x:v>
      </x:c>
      <x:c r="G45" s="24" t="n">
        <x:f>G40-SUM(G43:G44)</x:f>
        <x:v>967880.7694120002</x:v>
      </x:c>
      <x:c r="H45" s="24" t="n">
        <x:f>H40-SUM(H43:H44)</x:f>
        <x:v>2802972.1721099997</x:v>
      </x:c>
      <x:c r="I45" s="24" t="n">
        <x:f>I40-SUM(I43:I44)</x:f>
        <x:v>7100385.80224725</x:v>
      </x:c>
      <x:c r="J45" s="24" t="n">
        <x:f>J40-SUM(J43:J44)</x:f>
        <x:v>14924418.82892</x:v>
      </x:c>
      <x:c r="K45" s="1"/>
      <x:c r="L45" s="1"/>
      <x:c r="M45" s="1"/>
    </x:row>
    <x:row r="46" ht="22" customHeight="1">
      <x:c r="A46" s="1"/>
      <x:c r="B46" s="1"/>
      <x:c r="C46" s="1" t="str">
        <x:v>Service-payment build / operations / excluded</x:v>
      </x:c>
      <x:c r="D46" s="22" t="n">
        <x:f>0</x:f>
        <x:v>0</x:v>
      </x:c>
      <x:c r="E46" s="22" t="n">
        <x:f>0</x:f>
        <x:v>0</x:v>
      </x:c>
      <x:c r="F46" s="22" t="n">
        <x:f>0</x:f>
        <x:v>0</x:v>
      </x:c>
      <x:c r="G46" s="22" t="n">
        <x:f>0</x:f>
        <x:v>0</x:v>
      </x:c>
      <x:c r="H46" s="22" t="n">
        <x:f>0</x:f>
        <x:v>0</x:v>
      </x:c>
      <x:c r="I46" s="22" t="n">
        <x:f>0</x:f>
        <x:v>0</x:v>
      </x:c>
      <x:c r="J46" s="22" t="n">
        <x:f>0</x:f>
        <x:v>0</x:v>
      </x:c>
      <x:c r="K46" s="1"/>
      <x:c r="L46" s="1"/>
      <x:c r="M46" s="1"/>
    </x:row>
    <x:row r="47" ht="22" customHeight="1">
      <x:c r="A47" s="1"/>
      <x:c r="B47" s="1"/>
      <x:c r="C47" s="1" t="str">
        <x:v>Average paid employees</x:v>
      </x:c>
      <x:c r="D47" s="49" t="n">
        <x:f>'Assumptions'!D47</x:f>
        <x:v>3</x:v>
      </x:c>
      <x:c r="E47" s="49" t="n">
        <x:f>'Assumptions'!E47</x:f>
        <x:v>5</x:v>
      </x:c>
      <x:c r="F47" s="49" t="n">
        <x:f>'Assumptions'!F47</x:f>
        <x:v>8</x:v>
      </x:c>
      <x:c r="G47" s="49" t="n">
        <x:f>'Assumptions'!G47</x:f>
        <x:v>15</x:v>
      </x:c>
      <x:c r="H47" s="49" t="n">
        <x:f>'Assumptions'!H47</x:f>
        <x:v>25</x:v>
      </x:c>
      <x:c r="I47" s="49" t="n">
        <x:f>'Assumptions'!I47</x:f>
        <x:v>40</x:v>
      </x:c>
      <x:c r="J47" s="49" t="n">
        <x:f>'Assumptions'!J47</x:f>
        <x:v>60</x:v>
      </x:c>
      <x:c r="K47" s="1"/>
      <x:c r="L47" s="1"/>
      <x:c r="M47" s="1"/>
    </x:row>
    <x:row r="48" ht="22" customHeight="1">
      <x:c r="A48" s="1"/>
      <x:c r="B48" s="1"/>
      <x:c r="C48" s="1" t="str">
        <x:v>Loaded employee cost</x:v>
      </x:c>
      <x:c r="D48" s="50" t="n">
        <x:f>'Assumptions'!D52</x:f>
        <x:v>100000</x:v>
      </x:c>
      <x:c r="E48" s="50" t="n">
        <x:f>'Assumptions'!E52</x:f>
        <x:v>101666.66666666667</x:v>
      </x:c>
      <x:c r="F48" s="50" t="n">
        <x:f>'Assumptions'!F52</x:f>
        <x:v>103333.33333333333</x:v>
      </x:c>
      <x:c r="G48" s="50" t="n">
        <x:f>'Assumptions'!G52</x:f>
        <x:v>105000</x:v>
      </x:c>
      <x:c r="H48" s="50" t="n">
        <x:f>'Assumptions'!H52</x:f>
        <x:v>106666.66666666667</x:v>
      </x:c>
      <x:c r="I48" s="50" t="n">
        <x:f>'Assumptions'!I52</x:f>
        <x:v>108333.33333333333</x:v>
      </x:c>
      <x:c r="J48" s="50" t="n">
        <x:f>'Assumptions'!J52</x:f>
        <x:v>110000</x:v>
      </x:c>
      <x:c r="K48" s="1"/>
      <x:c r="L48" s="1"/>
      <x:c r="M48" s="1"/>
    </x:row>
    <x:row r="49" ht="22" customHeight="1">
      <x:c r="A49" s="1"/>
      <x:c r="B49" s="1"/>
      <x:c r="C49" s="1" t="str">
        <x:v>Payroll expense</x:v>
      </x:c>
      <x:c r="D49" s="22" t="n">
        <x:f>D47*D48</x:f>
        <x:v>300000</x:v>
      </x:c>
      <x:c r="E49" s="22" t="n">
        <x:f>E47*E48</x:f>
        <x:v>508333.3333333334</x:v>
      </x:c>
      <x:c r="F49" s="22" t="n">
        <x:f>F47*F48</x:f>
        <x:v>826666.6666666666</x:v>
      </x:c>
      <x:c r="G49" s="22" t="n">
        <x:f>G47*G48</x:f>
        <x:v>1575000</x:v>
      </x:c>
      <x:c r="H49" s="22" t="n">
        <x:f>H47*H48</x:f>
        <x:v>2666666.666666667</x:v>
      </x:c>
      <x:c r="I49" s="22" t="n">
        <x:f>I47*I48</x:f>
        <x:v>4333333.333333333</x:v>
      </x:c>
      <x:c r="J49" s="22" t="n">
        <x:f>J47*J48</x:f>
        <x:v>6600000</x:v>
      </x:c>
      <x:c r="K49" s="1"/>
      <x:c r="L49" s="1"/>
      <x:c r="M49" s="1"/>
    </x:row>
    <x:row r="50" ht="22" customHeight="1">
      <x:c r="A50" s="1"/>
      <x:c r="B50" s="1"/>
      <x:c r="C50" s="1" t="str">
        <x:v>Fixed overhead</x:v>
      </x:c>
      <x:c r="D50" s="50" t="n">
        <x:f>'Assumptions'!D57</x:f>
        <x:v>42000</x:v>
      </x:c>
      <x:c r="E50" s="50" t="n">
        <x:f>'Assumptions'!E57</x:f>
        <x:v>70000</x:v>
      </x:c>
      <x:c r="F50" s="50" t="n">
        <x:f>'Assumptions'!F57</x:f>
        <x:v>120000</x:v>
      </x:c>
      <x:c r="G50" s="50" t="n">
        <x:f>'Assumptions'!G57</x:f>
        <x:v>200000</x:v>
      </x:c>
      <x:c r="H50" s="50" t="n">
        <x:f>'Assumptions'!H57</x:f>
        <x:v>300000</x:v>
      </x:c>
      <x:c r="I50" s="50" t="n">
        <x:f>'Assumptions'!I57</x:f>
        <x:v>420000</x:v>
      </x:c>
      <x:c r="J50" s="50" t="n">
        <x:f>'Assumptions'!J57</x:f>
        <x:v>550000</x:v>
      </x:c>
      <x:c r="K50" s="1"/>
      <x:c r="L50" s="1"/>
      <x:c r="M50" s="1"/>
    </x:row>
    <x:row r="51" ht="22" customHeight="1">
      <x:c r="A51" s="1"/>
      <x:c r="B51" s="1"/>
      <x:c r="C51" s="4" t="str">
        <x:v>EBITDA</x:v>
      </x:c>
      <x:c r="D51" s="24" t="n">
        <x:f>D45-SUM(D49:D50)-D46-D91-D90</x:f>
        <x:v>-421826.6595</x:v>
      </x:c>
      <x:c r="E51" s="24" t="n">
        <x:f>E45-SUM(E49:E50)-E46-E91-E90</x:f>
        <x:v>-698911.5390828333</x:v>
      </x:c>
      <x:c r="F51" s="24" t="n">
        <x:f>F45-SUM(F49:F50)-F46-F91-F90</x:f>
        <x:v>-939565.6254099166</x:v>
      </x:c>
      <x:c r="G51" s="24" t="n">
        <x:f>G45-SUM(G49:G50)-G46-G91-G90</x:f>
        <x:v>-1378519.2305879998</x:v>
      </x:c>
      <x:c r="H51" s="24" t="n">
        <x:f>H45-SUM(H49:H50)-H46-H91-H90</x:f>
        <x:v>-1422374.4945566673</x:v>
      </x:c>
      <x:c r="I51" s="24" t="n">
        <x:f>I45-SUM(I49:I50)-I46-I91-I90</x:f>
        <x:v>-302363.53108608257</x:v>
      </x:c>
      <x:c r="J51" s="24" t="n">
        <x:f>J45-SUM(J49:J50)-J46-J91-J90</x:f>
        <x:v>3375119.628919999</x:v>
      </x:c>
      <x:c r="K51" s="1"/>
      <x:c r="L51" s="1"/>
      <x:c r="M51" s="1"/>
    </x:row>
    <x:row r="52" ht="22" customHeight="1">
      <x:c r="A52" s="1"/>
      <x:c r="B52" s="1"/>
      <x:c r="C52" s="1" t="str">
        <x:v>Depreciation</x:v>
      </x:c>
      <x:c r="D52" s="50" t="n">
        <x:f>SUMIFS($D57:D57,$D$5:D$5,"&gt;"&amp;(D$5-'Assumptions'!$D$91))/'Assumptions'!$D$91</x:f>
        <x:v>5000</x:v>
      </x:c>
      <x:c r="E52" s="50" t="n">
        <x:f>SUMIFS($D57:E57,$D$5:E$5,"&gt;"&amp;(E$5-'Assumptions'!$D$91))/'Assumptions'!$D$91</x:f>
        <x:v>13333.333333333334</x:v>
      </x:c>
      <x:c r="F52" s="50" t="n">
        <x:f>SUMIFS($D57:F57,$D$5:F$5,"&gt;"&amp;(F$5-'Assumptions'!$D$91))/'Assumptions'!$D$91</x:f>
        <x:v>26666.666666666668</x:v>
      </x:c>
      <x:c r="G52" s="50" t="n">
        <x:f>SUMIFS($D57:G57,$D$5:G$5,"&gt;"&amp;(G$5-'Assumptions'!$D$91))/'Assumptions'!$D$91</x:f>
        <x:v>46666.666666666664</x:v>
      </x:c>
      <x:c r="H52" s="50" t="n">
        <x:f>SUMIFS($D57:H57,$D$5:H$5,"&gt;"&amp;(H$5-'Assumptions'!$D$91))/'Assumptions'!$D$91</x:f>
        <x:v>80000</x:v>
      </x:c>
      <x:c r="I52" s="50" t="n">
        <x:f>SUMIFS($D57:I57,$D$5:I$5,"&gt;"&amp;(I$5-'Assumptions'!$D$91))/'Assumptions'!$D$91</x:f>
        <x:v>133333.33333333334</x:v>
      </x:c>
      <x:c r="J52" s="50" t="n">
        <x:f>SUMIFS($D57:J57,$D$5:J$5,"&gt;"&amp;(J$5-'Assumptions'!$D$91))/'Assumptions'!$D$91</x:f>
        <x:v>208333.33333333334</x:v>
      </x:c>
      <x:c r="K52" s="1"/>
      <x:c r="L52" s="1"/>
      <x:c r="M52" s="1"/>
    </x:row>
    <x:row r="53" ht="22" customHeight="1">
      <x:c r="A53" s="1"/>
      <x:c r="B53" s="1"/>
      <x:c r="C53" s="4" t="str">
        <x:v>Operating profit / EBIT</x:v>
      </x:c>
      <x:c r="D53" s="24" t="n">
        <x:f>D51-D52</x:f>
        <x:v>-426826.6595</x:v>
      </x:c>
      <x:c r="E53" s="24" t="n">
        <x:f>E51-E52</x:f>
        <x:v>-712244.8724161667</x:v>
      </x:c>
      <x:c r="F53" s="24" t="n">
        <x:f>F51-F52</x:f>
        <x:v>-966232.2920765833</x:v>
      </x:c>
      <x:c r="G53" s="24" t="n">
        <x:f>G51-G52</x:f>
        <x:v>-1425185.8972546665</x:v>
      </x:c>
      <x:c r="H53" s="24" t="n">
        <x:f>H51-H52</x:f>
        <x:v>-1502374.4945566673</x:v>
      </x:c>
      <x:c r="I53" s="24" t="n">
        <x:f>I51-I52</x:f>
        <x:v>-435696.86441941594</x:v>
      </x:c>
      <x:c r="J53" s="24" t="n">
        <x:f>J51-J52</x:f>
        <x:v>3166786.2955866656</x:v>
      </x:c>
      <x:c r="K53" s="1"/>
      <x:c r="L53" s="1"/>
      <x:c r="M53" s="1"/>
    </x:row>
    <x:row r="54" ht="22" customHeight="1">
      <x:c r="A54" s="1"/>
      <x:c r="B54" s="1"/>
      <x:c r="C54" s="1" t="str">
        <x:v>Illustrative income taxes</x:v>
      </x:c>
      <x:c r="D54" s="50" t="n">
        <x:f>MAX(0,D53)*'Assumptions'!$D$89</x:f>
        <x:v>0</x:v>
      </x:c>
      <x:c r="E54" s="50" t="n">
        <x:f>MAX(0,E53)*'Assumptions'!$D$89</x:f>
        <x:v>0</x:v>
      </x:c>
      <x:c r="F54" s="50" t="n">
        <x:f>MAX(0,F53)*'Assumptions'!$D$89</x:f>
        <x:v>0</x:v>
      </x:c>
      <x:c r="G54" s="50" t="n">
        <x:f>MAX(0,G53)*'Assumptions'!$D$89</x:f>
        <x:v>0</x:v>
      </x:c>
      <x:c r="H54" s="50" t="n">
        <x:f>MAX(0,H53)*'Assumptions'!$D$89</x:f>
        <x:v>0</x:v>
      </x:c>
      <x:c r="I54" s="50" t="n">
        <x:f>MAX(0,I53)*'Assumptions'!$D$89</x:f>
        <x:v>0</x:v>
      </x:c>
      <x:c r="J54" s="50" t="n">
        <x:f>MAX(0,J53)*'Assumptions'!$D$89</x:f>
        <x:v>791696.5738966664</x:v>
      </x:c>
      <x:c r="K54" s="1"/>
      <x:c r="L54" s="1"/>
      <x:c r="M54" s="1"/>
    </x:row>
    <x:row r="55" ht="22" customHeight="1">
      <x:c r="A55" s="1"/>
      <x:c r="B55" s="1"/>
      <x:c r="C55" s="4" t="str">
        <x:v>Net income proxy</x:v>
      </x:c>
      <x:c r="D55" s="24" t="n">
        <x:f>D53-D54</x:f>
        <x:v>-426826.6595</x:v>
      </x:c>
      <x:c r="E55" s="24" t="n">
        <x:f>E53-E54</x:f>
        <x:v>-712244.8724161667</x:v>
      </x:c>
      <x:c r="F55" s="24" t="n">
        <x:f>F53-F54</x:f>
        <x:v>-966232.2920765833</x:v>
      </x:c>
      <x:c r="G55" s="24" t="n">
        <x:f>G53-G54</x:f>
        <x:v>-1425185.8972546665</x:v>
      </x:c>
      <x:c r="H55" s="24" t="n">
        <x:f>H53-H54</x:f>
        <x:v>-1502374.4945566673</x:v>
      </x:c>
      <x:c r="I55" s="24" t="n">
        <x:f>I53-I54</x:f>
        <x:v>-435696.86441941594</x:v>
      </x:c>
      <x:c r="J55" s="24" t="n">
        <x:f>J53-J54</x:f>
        <x:v>2375089.721689999</x:v>
      </x:c>
      <x:c r="K55" s="1"/>
      <x:c r="L55" s="1"/>
      <x:c r="M55" s="1"/>
    </x:row>
    <x:row r="56" ht="22" customHeight="1">
      <x:c r="A56" s="1"/>
      <x:c r="B56" s="1"/>
      <x:c r="C56" s="1"/>
      <x:c r="D56" s="6"/>
      <x:c r="E56" s="6"/>
      <x:c r="F56" s="6"/>
      <x:c r="G56" s="6"/>
      <x:c r="H56" s="6"/>
      <x:c r="I56" s="6"/>
      <x:c r="J56" s="6"/>
      <x:c r="K56" s="1"/>
      <x:c r="L56" s="1"/>
      <x:c r="M56" s="1"/>
    </x:row>
    <x:row r="57" ht="22" customHeight="1">
      <x:c r="A57" s="1"/>
      <x:c r="B57" s="1"/>
      <x:c r="C57" s="1" t="str">
        <x:v>Equipment capex</x:v>
      </x:c>
      <x:c r="D57" s="50" t="n">
        <x:f>'Assumptions'!D62</x:f>
        <x:v>15000</x:v>
      </x:c>
      <x:c r="E57" s="50" t="n">
        <x:f>'Assumptions'!E62</x:f>
        <x:v>25000</x:v>
      </x:c>
      <x:c r="F57" s="50" t="n">
        <x:f>'Assumptions'!F62</x:f>
        <x:v>40000</x:v>
      </x:c>
      <x:c r="G57" s="50" t="n">
        <x:f>'Assumptions'!G62</x:f>
        <x:v>75000</x:v>
      </x:c>
      <x:c r="H57" s="50" t="n">
        <x:f>'Assumptions'!H62</x:f>
        <x:v>125000</x:v>
      </x:c>
      <x:c r="I57" s="50" t="n">
        <x:f>'Assumptions'!I62</x:f>
        <x:v>200000</x:v>
      </x:c>
      <x:c r="J57" s="50" t="n">
        <x:f>'Assumptions'!J62</x:f>
        <x:v>300000</x:v>
      </x:c>
      <x:c r="K57" s="1"/>
      <x:c r="L57" s="1"/>
      <x:c r="M57" s="1"/>
    </x:row>
    <x:row r="58" ht="22" customHeight="1">
      <x:c r="A58" s="1"/>
      <x:c r="B58" s="1"/>
      <x:c r="C58" s="1" t="str">
        <x:v>Restricted payment risk cash / excluded</x:v>
      </x:c>
      <x:c r="D58" s="22" t="n">
        <x:f>0</x:f>
        <x:v>0</x:v>
      </x:c>
      <x:c r="E58" s="22" t="n">
        <x:f>0</x:f>
        <x:v>0</x:v>
      </x:c>
      <x:c r="F58" s="22" t="n">
        <x:f>0</x:f>
        <x:v>0</x:v>
      </x:c>
      <x:c r="G58" s="22" t="n">
        <x:f>0</x:f>
        <x:v>0</x:v>
      </x:c>
      <x:c r="H58" s="22" t="n">
        <x:f>0</x:f>
        <x:v>0</x:v>
      </x:c>
      <x:c r="I58" s="22" t="n">
        <x:f>0</x:f>
        <x:v>0</x:v>
      </x:c>
      <x:c r="J58" s="22" t="n">
        <x:f>0</x:f>
        <x:v>0</x:v>
      </x:c>
      <x:c r="K58" s="1"/>
      <x:c r="L58" s="1"/>
      <x:c r="M58" s="1"/>
    </x:row>
    <x:row r="59" ht="22" customHeight="1">
      <x:c r="A59" s="1"/>
      <x:c r="B59" s="1"/>
      <x:c r="C59" s="1" t="str">
        <x:v>Increase in payment risk cash / excluded</x:v>
      </x:c>
      <x:c r="D59" s="22" t="n">
        <x:f>0</x:f>
        <x:v>0</x:v>
      </x:c>
      <x:c r="E59" s="22" t="n">
        <x:f>0</x:f>
        <x:v>0</x:v>
      </x:c>
      <x:c r="F59" s="22" t="n">
        <x:f>0</x:f>
        <x:v>0</x:v>
      </x:c>
      <x:c r="G59" s="22" t="n">
        <x:f>0</x:f>
        <x:v>0</x:v>
      </x:c>
      <x:c r="H59" s="22" t="n">
        <x:f>0</x:f>
        <x:v>0</x:v>
      </x:c>
      <x:c r="I59" s="22" t="n">
        <x:f>0</x:f>
        <x:v>0</x:v>
      </x:c>
      <x:c r="J59" s="22" t="n">
        <x:f>0</x:f>
        <x:v>0</x:v>
      </x:c>
      <x:c r="K59" s="1"/>
      <x:c r="L59" s="1"/>
      <x:c r="M59" s="1"/>
    </x:row>
    <x:row r="60" ht="22" customHeight="1">
      <x:c r="A60" s="1"/>
      <x:c r="B60" s="1"/>
      <x:c r="C60" s="4" t="str">
        <x:v>Free cash flow before financing</x:v>
      </x:c>
      <x:c r="D60" s="24" t="n">
        <x:f>D55+D52-D57</x:f>
        <x:v>-436826.6595</x:v>
      </x:c>
      <x:c r="E60" s="24" t="n">
        <x:f>E55+E52-E57</x:f>
        <x:v>-723911.5390828333</x:v>
      </x:c>
      <x:c r="F60" s="24" t="n">
        <x:f>F55+F52-F57</x:f>
        <x:v>-979565.6254099166</x:v>
      </x:c>
      <x:c r="G60" s="24" t="n">
        <x:f>G55+G52-G57</x:f>
        <x:v>-1453519.2305879998</x:v>
      </x:c>
      <x:c r="H60" s="24" t="n">
        <x:f>H55+H52-H57</x:f>
        <x:v>-1547374.4945566673</x:v>
      </x:c>
      <x:c r="I60" s="24" t="n">
        <x:f>I55+I52-I57</x:f>
        <x:v>-502363.53108608257</x:v>
      </x:c>
      <x:c r="J60" s="24" t="n">
        <x:f>J55+J52-J57</x:f>
        <x:v>2283423.0550233326</x:v>
      </x:c>
      <x:c r="K60" s="1"/>
      <x:c r="L60" s="1"/>
      <x:c r="M60" s="1"/>
    </x:row>
    <x:row r="61" ht="22" customHeight="1">
      <x:c r="A61" s="1"/>
      <x:c r="B61" s="1"/>
      <x:c r="C61" s="1" t="str">
        <x:v>Cumulative free cash flow</x:v>
      </x:c>
      <x:c r="D61" s="22" t="n">
        <x:f>D60+0</x:f>
        <x:v>-436826.6595</x:v>
      </x:c>
      <x:c r="E61" s="22" t="n">
        <x:f>E60+D61</x:f>
        <x:v>-1160738.1985828334</x:v>
      </x:c>
      <x:c r="F61" s="22" t="n">
        <x:f>F60+E61</x:f>
        <x:v>-2140303.82399275</x:v>
      </x:c>
      <x:c r="G61" s="22" t="n">
        <x:f>G60+F61</x:f>
        <x:v>-3593823.05458075</x:v>
      </x:c>
      <x:c r="H61" s="22" t="n">
        <x:f>H60+G61</x:f>
        <x:v>-5141197.549137417</x:v>
      </x:c>
      <x:c r="I61" s="22" t="n">
        <x:f>I60+H61</x:f>
        <x:v>-5643561.0802235</x:v>
      </x:c>
      <x:c r="J61" s="22" t="n">
        <x:f>J60+I61</x:f>
        <x:v>-3360138.025200167</x:v>
      </x:c>
      <x:c r="K61" s="1"/>
      <x:c r="L61" s="1"/>
      <x:c r="M61" s="1"/>
    </x:row>
    <x:row r="62" ht="22" customHeight="1">
      <x:c r="A62" s="1"/>
      <x:c r="B62" s="1"/>
      <x:c r="C62" s="1" t="str">
        <x:v>Peak cumulative funding deficit to date</x:v>
      </x:c>
      <x:c r="D62" s="22" t="n">
        <x:f>MAX(0,-MIN($D$61:D61))</x:f>
        <x:v>436826.6595</x:v>
      </x:c>
      <x:c r="E62" s="22" t="n">
        <x:f>MAX(0,-MIN($D$61:E61))</x:f>
        <x:v>1160738.1985828334</x:v>
      </x:c>
      <x:c r="F62" s="22" t="n">
        <x:f>MAX(0,-MIN($D$61:F61))</x:f>
        <x:v>2140303.82399275</x:v>
      </x:c>
      <x:c r="G62" s="22" t="n">
        <x:f>MAX(0,-MIN($D$61:G61))</x:f>
        <x:v>3593823.05458075</x:v>
      </x:c>
      <x:c r="H62" s="22" t="n">
        <x:f>MAX(0,-MIN($D$61:H61))</x:f>
        <x:v>5141197.549137417</x:v>
      </x:c>
      <x:c r="I62" s="22" t="n">
        <x:f>MAX(0,-MIN($D$61:I61))</x:f>
        <x:v>5643561.0802235</x:v>
      </x:c>
      <x:c r="J62" s="22" t="n">
        <x:f>MAX(0,-MIN($D$61:J61))</x:f>
        <x:v>5643561.0802235</x:v>
      </x:c>
      <x:c r="K62" s="1"/>
      <x:c r="L62" s="1"/>
      <x:c r="M62" s="1"/>
    </x:row>
    <x:row r="63" ht="22" customHeight="1">
      <x:c r="A63" s="1"/>
      <x:c r="B63" s="1"/>
      <x:c r="C63" s="1" t="str">
        <x:v>Illustrative round 1 net financing</x:v>
      </x:c>
      <x:c r="D63" s="50" t="n">
        <x:f>'Assumptions'!$D$92-'Assumptions'!$D$93</x:f>
        <x:v>1475000</x:v>
      </x:c>
      <x:c r="E63" s="22" t="n">
        <x:f>0</x:f>
        <x:v>0</x:v>
      </x:c>
      <x:c r="F63" s="22" t="n">
        <x:f>0</x:f>
        <x:v>0</x:v>
      </x:c>
      <x:c r="G63" s="22" t="n">
        <x:f>0</x:f>
        <x:v>0</x:v>
      </x:c>
      <x:c r="H63" s="22" t="n">
        <x:f>0</x:f>
        <x:v>0</x:v>
      </x:c>
      <x:c r="I63" s="22" t="n">
        <x:f>0</x:f>
        <x:v>0</x:v>
      </x:c>
      <x:c r="J63" s="22" t="n">
        <x:f>0</x:f>
        <x:v>0</x:v>
      </x:c>
      <x:c r="K63" s="1"/>
      <x:c r="L63" s="1"/>
      <x:c r="M63" s="1"/>
    </x:row>
    <x:row r="64" ht="22" customHeight="1">
      <x:c r="A64" s="1"/>
      <x:c r="B64" s="1"/>
      <x:c r="C64" s="4" t="str">
        <x:v>Cash after illustrative round 1 only</x:v>
      </x:c>
      <x:c r="D64" s="24" t="n">
        <x:f>D60+D63+0</x:f>
        <x:v>1038173.3404999999</x:v>
      </x:c>
      <x:c r="E64" s="24" t="n">
        <x:f>E60+E63+D64</x:f>
        <x:v>314261.8014171666</x:v>
      </x:c>
      <x:c r="F64" s="24" t="n">
        <x:f>F60+F63+E64</x:f>
        <x:v>-665303.82399275</x:v>
      </x:c>
      <x:c r="G64" s="24" t="n">
        <x:f>G60+G63+F64</x:f>
        <x:v>-2118823.05458075</x:v>
      </x:c>
      <x:c r="H64" s="24" t="n">
        <x:f>H60+H63+G64</x:f>
        <x:v>-3666197.549137417</x:v>
      </x:c>
      <x:c r="I64" s="24" t="n">
        <x:f>I60+I63+H64</x:f>
        <x:v>-4168561.0802235</x:v>
      </x:c>
      <x:c r="J64" s="24" t="n">
        <x:f>J60+J63+I64</x:f>
        <x:v>-1885138.0252001672</x:v>
      </x:c>
      <x:c r="K64" s="1"/>
      <x:c r="L64" s="1"/>
      <x:c r="M64" s="1"/>
    </x:row>
    <x:row r="65" ht="22" customHeight="1">
      <x:c r="A65" s="1"/>
      <x:c r="B65" s="1"/>
      <x:c r="C65" s="1" t="str">
        <x:v>Six-month fixed-cost buffer</x:v>
      </x:c>
      <x:c r="D65" s="50" t="n">
        <x:f>(SUM(D49:D50)+'Revenue streams'!D79+D91)*'Assumptions'!$D$94/12</x:f>
        <x:v>184500</x:v>
      </x:c>
      <x:c r="E65" s="50" t="n">
        <x:f>(SUM(E49:E50)+'Revenue streams'!E79+E91)*'Assumptions'!$D$94/12</x:f>
        <x:v>347666.6666666667</x:v>
      </x:c>
      <x:c r="F65" s="50" t="n">
        <x:f>(SUM(F49:F50)+'Revenue streams'!F79+F91)*'Assumptions'!$D$94/12</x:f>
        <x:v>611833.3333333333</x:v>
      </x:c>
      <x:c r="G65" s="50" t="n">
        <x:f>(SUM(G49:G50)+'Revenue streams'!G79+G91)*'Assumptions'!$D$94/12</x:f>
        <x:v>1173200</x:v>
      </x:c>
      <x:c r="H65" s="50" t="n">
        <x:f>(SUM(H49:H50)+'Revenue streams'!H79+H91)*'Assumptions'!$D$94/12</x:f>
        <x:v>2112673.3333333335</x:v>
      </x:c>
      <x:c r="I65" s="50" t="n">
        <x:f>(SUM(I49:I50)+'Revenue streams'!I79+I91)*'Assumptions'!$D$94/12</x:f>
        <x:v>3701374.6666666665</x:v>
      </x:c>
      <x:c r="J65" s="50" t="n">
        <x:f>(SUM(J49:J50)+'Revenue streams'!J79+J91)*'Assumptions'!$D$94/12</x:f>
        <x:v>5774649.599999999</x:v>
      </x:c>
      <x:c r="K65" s="1"/>
      <x:c r="L65" s="1"/>
      <x:c r="M65" s="1"/>
    </x:row>
    <x:row r="66" ht="22" customHeight="1">
      <x:c r="A66" s="1"/>
      <x:c r="B66" s="1"/>
      <x:c r="C66" s="4" t="str">
        <x:v>Capital requirement incl. buffer</x:v>
      </x:c>
      <x:c r="D66" s="24" t="n">
        <x:f>D62+D65</x:f>
        <x:v>621326.6595000001</x:v>
      </x:c>
      <x:c r="E66" s="24" t="n">
        <x:f>E62+E65</x:f>
        <x:v>1508404.8652495001</x:v>
      </x:c>
      <x:c r="F66" s="24" t="n">
        <x:f>F62+F65</x:f>
        <x:v>2752137.1573260836</x:v>
      </x:c>
      <x:c r="G66" s="24" t="n">
        <x:f>G62+G65</x:f>
        <x:v>4767023.05458075</x:v>
      </x:c>
      <x:c r="H66" s="24" t="n">
        <x:f>H62+H65</x:f>
        <x:v>7253870.882470751</x:v>
      </x:c>
      <x:c r="I66" s="24" t="n">
        <x:f>I62+I65</x:f>
        <x:v>9344935.746890167</x:v>
      </x:c>
      <x:c r="J66" s="24" t="n">
        <x:f>J62+J65</x:f>
        <x:v>11418210.680223498</x:v>
      </x:c>
      <x:c r="K66" s="1"/>
      <x:c r="L66" s="1"/>
      <x:c r="M66" s="1"/>
    </x:row>
    <x:row r="67" ht="22" customHeight="1">
      <x:c r="A67" s="1"/>
      <x:c r="B67" s="1"/>
      <x:c r="C67" s="1"/>
      <x:c r="D67" s="6"/>
      <x:c r="E67" s="6"/>
      <x:c r="F67" s="6"/>
      <x:c r="G67" s="6"/>
      <x:c r="H67" s="6"/>
      <x:c r="I67" s="6"/>
      <x:c r="J67" s="6"/>
      <x:c r="K67" s="1"/>
      <x:c r="L67" s="1"/>
      <x:c r="M67" s="1"/>
    </x:row>
    <x:row r="68" ht="22" customHeight="1">
      <x:c r="A68" s="1"/>
      <x:c r="B68" s="1"/>
      <x:c r="C68" s="1" t="str">
        <x:v>Recurring contribution / paid job</x:v>
      </x:c>
      <x:c r="D68" s="34" t="n">
        <x:f>-(SUM(D36:D37)/D13)</x:f>
        <x:v>-0.25</x:v>
      </x:c>
      <x:c r="E68" s="34" t="n">
        <x:f>-(SUM(E36:E37)/E13)</x:f>
        <x:v>-0.25</x:v>
      </x:c>
      <x:c r="F68" s="34" t="n">
        <x:f>-(SUM(F36:F37)/F13)</x:f>
        <x:v>-0.25</x:v>
      </x:c>
      <x:c r="G68" s="34" t="n">
        <x:f>-(SUM(G36:G37)/G13)</x:f>
        <x:v>-0.25</x:v>
      </x:c>
      <x:c r="H68" s="34" t="n">
        <x:f>-(SUM(H36:H37)/H13)</x:f>
        <x:v>-0.25</x:v>
      </x:c>
      <x:c r="I68" s="34" t="n">
        <x:f>-(SUM(I36:I37)/I13)</x:f>
        <x:v>-0.25</x:v>
      </x:c>
      <x:c r="J68" s="34" t="n">
        <x:f>-(SUM(J36:J37)/J13)</x:f>
        <x:v>-0.25</x:v>
      </x:c>
      <x:c r="K68" s="1"/>
      <x:c r="L68" s="1"/>
      <x:c r="M68" s="1"/>
    </x:row>
    <x:row r="69" ht="22" customHeight="1">
      <x:c r="A69" s="1"/>
      <x:c r="B69" s="1"/>
      <x:c r="C69" s="1" t="str">
        <x:v>Recurring contribution / retained household</x:v>
      </x:c>
      <x:c r="D69" s="63" t="n">
        <x:f>D68*'Service mix'!D44*'Assumptions'!D27*'Assumptions'!D22</x:f>
        <x:v>-4.4096625</x:v>
      </x:c>
      <x:c r="E69" s="63" t="n">
        <x:f>E68*'Service mix'!E44*'Assumptions'!E27*'Assumptions'!E22</x:f>
        <x:v>-4.4267625</x:v>
      </x:c>
      <x:c r="F69" s="63" t="n">
        <x:f>F68*'Service mix'!F44*'Assumptions'!F27*'Assumptions'!F22</x:f>
        <x:v>-4.441725</x:v>
      </x:c>
      <x:c r="G69" s="63" t="n">
        <x:f>G68*'Service mix'!G44*'Assumptions'!G27*'Assumptions'!G22</x:f>
        <x:v>-4.458825</x:v>
      </x:c>
      <x:c r="H69" s="63" t="n">
        <x:f>H68*'Service mix'!H44*'Assumptions'!H27*'Assumptions'!H22</x:f>
        <x:v>-4.475925</x:v>
      </x:c>
      <x:c r="I69" s="63" t="n">
        <x:f>I68*'Service mix'!I44*'Assumptions'!I27*'Assumptions'!I22</x:f>
        <x:v>-4.4898187499999995</x:v>
      </x:c>
      <x:c r="J69" s="63" t="n">
        <x:f>J68*'Service mix'!J44*'Assumptions'!J27*'Assumptions'!J22</x:f>
        <x:v>-4.50585</x:v>
      </x:c>
      <x:c r="K69" s="1"/>
      <x:c r="L69" s="1"/>
      <x:c r="M69" s="1"/>
    </x:row>
    <x:row r="70" ht="22" customHeight="1">
      <x:c r="A70" s="1"/>
      <x:c r="B70" s="1"/>
      <x:c r="C70" s="1" t="str">
        <x:v>YardMatch revenue / gross booking value</x:v>
      </x:c>
      <x:c r="D70" s="16" t="n">
        <x:f>D26/D14</x:f>
        <x:v>0.10986909253918235</x:v>
      </x:c>
      <x:c r="E70" s="16" t="n">
        <x:f>E26/E14</x:f>
        <x:v>0.08321235632014208</x:v>
      </x:c>
      <x:c r="F70" s="16" t="n">
        <x:f>F26/F14</x:f>
        <x:v>0.07050801325895635</x:v>
      </x:c>
      <x:c r="G70" s="16" t="n">
        <x:f>G26/G14</x:f>
        <x:v>0.0576567535157366</x:v>
      </x:c>
      <x:c r="H70" s="16" t="n">
        <x:f>H26/H14</x:f>
        <x:v>0.04903615972937273</x:v>
      </x:c>
      <x:c r="I70" s="16" t="n">
        <x:f>I26/I14</x:f>
        <x:v>0.043281957889827895</x:v>
      </x:c>
      <x:c r="J70" s="16" t="n">
        <x:f>J26/J14</x:f>
        <x:v>0.036985922533230194</x:v>
      </x:c>
      <x:c r="K70" s="1"/>
      <x:c r="L70" s="1"/>
      <x:c r="M70" s="1"/>
    </x:row>
    <x:row r="71" ht="22" customHeight="1">
      <x:c r="A71" s="1"/>
      <x:c r="B71" s="1"/>
      <x:c r="C71" s="1"/>
      <x:c r="D71" s="6"/>
      <x:c r="E71" s="6"/>
      <x:c r="F71" s="6"/>
      <x:c r="G71" s="6"/>
      <x:c r="H71" s="6"/>
      <x:c r="I71" s="6"/>
      <x:c r="J71" s="6"/>
      <x:c r="K71" s="1"/>
      <x:c r="L71" s="1"/>
      <x:c r="M71" s="1"/>
    </x:row>
    <x:row r="72" ht="22" customHeight="1">
      <x:c r="A72" s="1"/>
      <x:c r="B72" s="1"/>
      <x:c r="C72" s="1" t="str">
        <x:v>Household balance check</x:v>
      </x:c>
      <x:c r="D72" s="55" t="n">
        <x:f>D6+D7-D9-D10</x:f>
        <x:v>0</x:v>
      </x:c>
      <x:c r="E72" s="55" t="n">
        <x:f>E6+E7-E9-E10</x:f>
        <x:v>0</x:v>
      </x:c>
      <x:c r="F72" s="55" t="n">
        <x:f>F6+F7-F9-F10</x:f>
        <x:v>0</x:v>
      </x:c>
      <x:c r="G72" s="55" t="n">
        <x:f>G6+G7-G9-G10</x:f>
        <x:v>0</x:v>
      </x:c>
      <x:c r="H72" s="55" t="n">
        <x:f>H6+H7-H9-H10</x:f>
        <x:v>0</x:v>
      </x:c>
      <x:c r="I72" s="55" t="n">
        <x:f>I6+I7-I9-I10</x:f>
        <x:v>0</x:v>
      </x:c>
      <x:c r="J72" s="55" t="n">
        <x:f>J6+J7-J9-J10</x:f>
        <x:v>0</x:v>
      </x:c>
      <x:c r="K72" s="1"/>
      <x:c r="L72" s="1"/>
      <x:c r="M72" s="1"/>
    </x:row>
    <x:row r="73" ht="22" customHeight="1">
      <x:c r="A73" s="1"/>
      <x:c r="B73" s="1"/>
      <x:c r="C73" s="1" t="str">
        <x:v>Provider balance check</x:v>
      </x:c>
      <x:c r="D73" s="55" t="n">
        <x:f>D17+D19-D18</x:f>
        <x:v>0</x:v>
      </x:c>
      <x:c r="E73" s="55" t="n">
        <x:f>E17+E19-E18</x:f>
        <x:v>0</x:v>
      </x:c>
      <x:c r="F73" s="55" t="n">
        <x:f>F17+F19-F18</x:f>
        <x:v>0</x:v>
      </x:c>
      <x:c r="G73" s="55" t="n">
        <x:f>G17+G19-G18</x:f>
        <x:v>0</x:v>
      </x:c>
      <x:c r="H73" s="55" t="n">
        <x:f>H17+H19-H18</x:f>
        <x:v>0</x:v>
      </x:c>
      <x:c r="I73" s="55" t="n">
        <x:f>I17+I19-I18</x:f>
        <x:v>0</x:v>
      </x:c>
      <x:c r="J73" s="55" t="n">
        <x:f>J17+J19-J18</x:f>
        <x:v>0</x:v>
      </x:c>
      <x:c r="K73" s="1"/>
      <x:c r="L73" s="1"/>
      <x:c r="M73" s="1"/>
    </x:row>
    <x:row r="74" ht="22" customHeight="1">
      <x:c r="A74" s="1"/>
      <x:c r="B74" s="1"/>
      <x:c r="C74" s="1" t="str">
        <x:v>Direct provider payment check</x:v>
      </x:c>
      <x:c r="D74" s="55" t="n">
        <x:f>D14-D27</x:f>
        <x:v>0</x:v>
      </x:c>
      <x:c r="E74" s="55" t="n">
        <x:f>E14-E27</x:f>
        <x:v>0</x:v>
      </x:c>
      <x:c r="F74" s="55" t="n">
        <x:f>F14-F27</x:f>
        <x:v>0</x:v>
      </x:c>
      <x:c r="G74" s="55" t="n">
        <x:f>G14-G27</x:f>
        <x:v>0</x:v>
      </x:c>
      <x:c r="H74" s="55" t="n">
        <x:f>H14-H27</x:f>
        <x:v>0</x:v>
      </x:c>
      <x:c r="I74" s="55" t="n">
        <x:f>I14-I27</x:f>
        <x:v>0</x:v>
      </x:c>
      <x:c r="J74" s="55" t="n">
        <x:f>J14-J27</x:f>
        <x:v>0</x:v>
      </x:c>
      <x:c r="K74" s="1"/>
      <x:c r="L74" s="1"/>
      <x:c r="M74" s="1"/>
    </x:row>
    <x:row r="75" ht="22" customHeight="1">
      <x:c r="A75" s="1"/>
      <x:c r="B75" s="1"/>
      <x:c r="C75" s="1" t="str">
        <x:v>Revenue check</x:v>
      </x:c>
      <x:c r="D75" s="55" t="n">
        <x:f>D26-SUM(D24:D25)-SUM(D87:D88)</x:f>
        <x:v>0</x:v>
      </x:c>
      <x:c r="E75" s="55" t="n">
        <x:f>E26-SUM(E24:E25)-SUM(E87:E88)</x:f>
        <x:v>-1.8189894035458565e-12</x:v>
      </x:c>
      <x:c r="F75" s="55" t="n">
        <x:f>F26-SUM(F24:F25)-SUM(F87:F88)</x:f>
        <x:v>-2.546585164964199e-11</x:v>
      </x:c>
      <x:c r="G75" s="55" t="n">
        <x:f>G26-SUM(G24:G25)-SUM(G87:G88)</x:f>
        <x:v>-4.3655745685100555e-11</x:v>
      </x:c>
      <x:c r="H75" s="55" t="n">
        <x:f>H26-SUM(H24:H25)-SUM(H87:H88)</x:f>
        <x:v>-4.0745362639427185e-10</x:v>
      </x:c>
      <x:c r="I75" s="55" t="n">
        <x:f>I26-SUM(I24:I25)-SUM(I87:I88)</x:f>
        <x:v>0</x:v>
      </x:c>
      <x:c r="J75" s="55" t="n">
        <x:f>J26-SUM(J24:J25)-SUM(J87:J88)</x:f>
        <x:v>-1.862645149230957e-9</x:v>
      </x:c>
      <x:c r="K75" s="1"/>
      <x:c r="L75" s="1"/>
      <x:c r="M75" s="1"/>
    </x:row>
    <x:row r="76" ht="22" customHeight="1">
      <x:c r="A76" s="1"/>
      <x:c r="B76" s="1"/>
      <x:c r="C76" s="1" t="str">
        <x:v>Cash-flow bridge check</x:v>
      </x:c>
      <x:c r="D76" s="55" t="n">
        <x:f>D60-(D51-D54-D57)</x:f>
        <x:v>0</x:v>
      </x:c>
      <x:c r="E76" s="55" t="n">
        <x:f>E60-(E51-E54-E57)</x:f>
        <x:v>0</x:v>
      </x:c>
      <x:c r="F76" s="55" t="n">
        <x:f>F60-(F51-F54-F57)</x:f>
        <x:v>0</x:v>
      </x:c>
      <x:c r="G76" s="55" t="n">
        <x:f>G60-(G51-G54-G57)</x:f>
        <x:v>0</x:v>
      </x:c>
      <x:c r="H76" s="55" t="n">
        <x:f>H60-(H51-H54-H57)</x:f>
        <x:v>0</x:v>
      </x:c>
      <x:c r="I76" s="55" t="n">
        <x:f>I60-(I51-I54-I57)</x:f>
        <x:v>0</x:v>
      </x:c>
      <x:c r="J76" s="55" t="n">
        <x:f>J60-(J51-J54-J57)</x:f>
        <x:v>0</x:v>
      </x:c>
      <x:c r="K76" s="1"/>
      <x:c r="L76" s="1"/>
      <x:c r="M76" s="1"/>
    </x:row>
    <x:row r="77" ht="22" customHeight="1">
      <x:c r="A77" s="1"/>
      <x:c r="B77" s="1"/>
      <x:c r="C77" s="1"/>
      <x:c r="D77" s="6"/>
      <x:c r="E77" s="6"/>
      <x:c r="F77" s="6"/>
      <x:c r="G77" s="6"/>
      <x:c r="H77" s="6"/>
      <x:c r="I77" s="6"/>
      <x:c r="J77" s="6"/>
      <x:c r="K77" s="1"/>
      <x:c r="L77" s="1"/>
      <x:c r="M77" s="1"/>
    </x:row>
    <x:row r="78" ht="22" customHeight="1">
      <x:c r="A78" s="1"/>
      <x:c r="B78" s="1"/>
      <x:c r="C78" s="1"/>
      <x:c r="D78" s="6"/>
      <x:c r="E78" s="6"/>
      <x:c r="F78" s="6"/>
      <x:c r="G78" s="6"/>
      <x:c r="H78" s="6"/>
      <x:c r="I78" s="6"/>
      <x:c r="J78" s="6"/>
      <x:c r="K78" s="1"/>
      <x:c r="L78" s="1"/>
      <x:c r="M78" s="1"/>
    </x:row>
    <x:row r="79" ht="22" customHeight="1">
      <x:c r="A79" s="1"/>
      <x:c r="B79" s="1"/>
      <x:c r="C79" s="32" t="str">
        <x:v>New households contribute half a service season. Retained households contribute a full season. One new pairing per new household. Customers pay providers directly; YardMatch does not process service payments or issue payouts. Bundles count once; project visits add fees but no new finder fee for the same pair.</x:v>
      </x:c>
      <x:c r="D79" s="33"/>
      <x:c r="E79" s="33"/>
      <x:c r="F79" s="33"/>
      <x:c r="G79" s="33"/>
      <x:c r="H79" s="33"/>
      <x:c r="I79" s="33"/>
      <x:c r="J79" s="33"/>
      <x:c r="K79" s="1"/>
      <x:c r="L79" s="1"/>
      <x:c r="M79" s="1"/>
    </x:row>
    <x:row r="80" ht="22" customHeight="1">
      <x:c r="A80" s="1"/>
      <x:c r="B80" s="1"/>
      <x:c r="C80" s="32"/>
      <x:c r="D80" s="33"/>
      <x:c r="E80" s="33"/>
      <x:c r="F80" s="33"/>
      <x:c r="G80" s="33"/>
      <x:c r="H80" s="33"/>
      <x:c r="I80" s="33"/>
      <x:c r="J80" s="33"/>
      <x:c r="K80" s="1"/>
      <x:c r="L80" s="1"/>
      <x:c r="M80" s="1"/>
    </x:row>
    <x:row r="81" ht="22" customHeight="1">
      <x:c r="A81" s="1"/>
      <x:c r="B81" s="1"/>
      <x:c r="C81" s="1"/>
      <x:c r="D81" s="6"/>
      <x:c r="E81" s="6"/>
      <x:c r="F81" s="6"/>
      <x:c r="G81" s="6"/>
      <x:c r="H81" s="6"/>
      <x:c r="I81" s="6"/>
      <x:c r="J81" s="6"/>
      <x:c r="K81" s="1"/>
      <x:c r="L81" s="1"/>
      <x:c r="M81" s="1"/>
    </x:row>
    <x:row r="82" ht="22" customHeight="1">
      <x:c r="A82" s="1"/>
      <x:c r="B82" s="1"/>
      <x:c r="C82" s="32" t="str">
        <x:v>Costs exclude provider labor, equipment and crew compensation because providers bear these costs. Net income is a planning proxy, with no debt, interest, NOL benefit or capitalized development.</x:v>
      </x:c>
      <x:c r="D82" s="33"/>
      <x:c r="E82" s="33"/>
      <x:c r="F82" s="33"/>
      <x:c r="G82" s="33"/>
      <x:c r="H82" s="33"/>
      <x:c r="I82" s="33"/>
      <x:c r="J82" s="33"/>
      <x:c r="K82" s="1"/>
      <x:c r="L82" s="1"/>
      <x:c r="M82" s="1"/>
    </x:row>
    <x:row r="83" ht="22" customHeight="1">
      <x:c r="A83" s="1"/>
      <x:c r="B83" s="1"/>
      <x:c r="C83" s="32"/>
      <x:c r="D83" s="33"/>
      <x:c r="E83" s="33"/>
      <x:c r="F83" s="33"/>
      <x:c r="G83" s="33"/>
      <x:c r="H83" s="33"/>
      <x:c r="I83" s="33"/>
      <x:c r="J83" s="33"/>
      <x:c r="K83" s="1"/>
      <x:c r="L83" s="1"/>
      <x:c r="M83" s="1"/>
    </x:row>
    <x:row r="84" ht="22" customHeight="1">
      <x:c r="A84" s="1"/>
      <x:c r="B84" s="1"/>
      <x:c r="C84" s="1"/>
      <x:c r="D84" s="6"/>
      <x:c r="E84" s="6"/>
      <x:c r="F84" s="6"/>
      <x:c r="G84" s="6"/>
      <x:c r="H84" s="6"/>
      <x:c r="I84" s="6"/>
      <x:c r="J84" s="6"/>
      <x:c r="K84" s="1"/>
      <x:c r="L84" s="1"/>
      <x:c r="M84" s="1"/>
    </x:row>
    <x:row r="85" ht="22" customHeight="1">
      <x:c r="A85" s="1"/>
      <x:c r="B85" s="1"/>
      <x:c r="C85" s="5" t="str">
        <x:v>Provider products and regional operating costs</x:v>
      </x:c>
      <x:c r="D85" s="26"/>
      <x:c r="E85" s="26"/>
      <x:c r="F85" s="26"/>
      <x:c r="G85" s="26"/>
      <x:c r="H85" s="26"/>
      <x:c r="I85" s="26"/>
      <x:c r="J85" s="26"/>
      <x:c r="K85" s="1"/>
      <x:c r="L85" s="1"/>
      <x:c r="M85" s="1"/>
    </x:row>
    <x:row r="86" ht="22" customHeight="1">
      <x:c r="A86" s="1"/>
      <x:c r="B86" s="1"/>
      <x:c r="C86" s="1"/>
      <x:c r="D86" s="6"/>
      <x:c r="E86" s="6"/>
      <x:c r="F86" s="6"/>
      <x:c r="G86" s="6"/>
      <x:c r="H86" s="6"/>
      <x:c r="I86" s="6"/>
      <x:c r="J86" s="6"/>
      <x:c r="K86" s="1"/>
      <x:c r="L86" s="1"/>
      <x:c r="M86" s="1"/>
    </x:row>
    <x:row r="87">
      <x:c r="C87" t="str">
        <x:v>Net subscription revenue</x:v>
      </x:c>
      <x:c r="D87" s="74" t="n">
        <x:f>'Revenue streams'!D48</x:f>
        <x:v>0</x:v>
      </x:c>
      <x:c r="E87" s="74" t="n">
        <x:f>'Revenue streams'!E48</x:f>
        <x:v>2272.1319600000006</x:v>
      </x:c>
      <x:c r="F87" s="74" t="n">
        <x:f>'Revenue streams'!F48</x:f>
        <x:v>19559.77296</x:v>
      </x:c>
      <x:c r="G87" s="74" t="n">
        <x:f>'Revenue streams'!G48</x:f>
        <x:v>104363.69664000002</x:v>
      </x:c>
      <x:c r="H87" s="74" t="n">
        <x:f>'Revenue streams'!H48</x:f>
        <x:v>387163.0287000001</x:v>
      </x:c>
      <x:c r="I87" s="74" t="n">
        <x:f>'Revenue streams'!I48</x:f>
        <x:v>1185416.7847199999</x:v>
      </x:c>
      <x:c r="J87" s="74" t="n">
        <x:f>'Revenue streams'!J48</x:f>
        <x:v>3081515.6064</x:v>
      </x:c>
    </x:row>
    <x:row r="88">
      <x:c r="C88" t="str">
        <x:v>Net sponsored revenue</x:v>
      </x:c>
      <x:c r="D88" s="74" t="n">
        <x:f>'Revenue streams'!D57</x:f>
        <x:v>0</x:v>
      </x:c>
      <x:c r="E88" s="74" t="n">
        <x:f>'Revenue streams'!E57</x:f>
        <x:v>0</x:v>
      </x:c>
      <x:c r="F88" s="74" t="n">
        <x:f>'Revenue streams'!F57</x:f>
        <x:v>0</x:v>
      </x:c>
      <x:c r="G88" s="74" t="n">
        <x:f>'Revenue streams'!G57</x:f>
        <x:v>0</x:v>
      </x:c>
      <x:c r="H88" s="74" t="n">
        <x:f>'Revenue streams'!H57</x:f>
        <x:v>0</x:v>
      </x:c>
      <x:c r="I88" s="74" t="n">
        <x:f>'Revenue streams'!I57</x:f>
        <x:v>0</x:v>
      </x:c>
      <x:c r="J88" s="74" t="n">
        <x:f>'Revenue streams'!J57</x:f>
        <x:v>0</x:v>
      </x:c>
    </x:row>
    <x:row r="89">
      <x:c r="C89" t="str">
        <x:v>Incremental add-on cost of revenue</x:v>
      </x:c>
      <x:c r="D89" s="74" t="n">
        <x:f>'Revenue streams'!D64</x:f>
        <x:v>0</x:v>
      </x:c>
      <x:c r="E89" s="74" t="n">
        <x:f>'Revenue streams'!E64</x:f>
        <x:v>395.44747200000006</x:v>
      </x:c>
      <x:c r="F89" s="74" t="n">
        <x:f>'Revenue streams'!F64</x:f>
        <x:v>3421.236672</x:v>
      </x:c>
      <x:c r="G89" s="74" t="n">
        <x:f>'Revenue streams'!G64</x:f>
        <x:v>18316.290048000003</x:v>
      </x:c>
      <x:c r="H89" s="74" t="n">
        <x:f>'Revenue streams'!H64</x:f>
        <x:v>67943.61084</x:v>
      </x:c>
      <x:c r="I89" s="74" t="n">
        <x:f>'Revenue streams'!I64</x:f>
        <x:v>208151.013504</x:v>
      </x:c>
      <x:c r="J89" s="74" t="n">
        <x:f>'Revenue streams'!J64</x:f>
        <x:v>542561.2684800001</x:v>
      </x:c>
    </x:row>
    <x:row r="90">
      <x:c r="C90" t="str">
        <x:v>Incremental add-on operating expense</x:v>
      </x:c>
      <x:c r="D90" s="74" t="n">
        <x:f>'Revenue streams'!D70</x:f>
        <x:v>60000</x:v>
      </x:c>
      <x:c r="E90" s="74" t="n">
        <x:f>'Revenue streams'!E70</x:f>
        <x:v>120000</x:v>
      </x:c>
      <x:c r="F90" s="74" t="n">
        <x:f>'Revenue streams'!F70</x:f>
        <x:v>72000</x:v>
      </x:c>
      <x:c r="G90" s="74" t="n">
        <x:f>'Revenue streams'!G70</x:f>
        <x:v>86400</x:v>
      </x:c>
      <x:c r="H90" s="74" t="n">
        <x:f>'Revenue streams'!H70</x:f>
        <x:v>103679.99999999999</x:v>
      </x:c>
      <x:c r="I90" s="74" t="n">
        <x:f>'Revenue streams'!I70</x:f>
        <x:v>124416</x:v>
      </x:c>
      <x:c r="J90" s="74" t="n">
        <x:f>'Revenue streams'!J70</x:f>
        <x:v>149299.19999999995</x:v>
      </x:c>
    </x:row>
    <x:row r="91">
      <x:c r="C91" t="str">
        <x:v>Local launch and coverage spend</x:v>
      </x:c>
      <x:c r="D91" s="74" t="n">
        <x:f>'National rollout'!D80</x:f>
        <x:v>27000</x:v>
      </x:c>
      <x:c r="E91" s="74" t="n">
        <x:f>'National rollout'!E80</x:f>
        <x:v>57000</x:v>
      </x:c>
      <x:c r="F91" s="74" t="n">
        <x:f>'National rollout'!F80</x:f>
        <x:v>205000</x:v>
      </x:c>
      <x:c r="G91" s="74" t="n">
        <x:f>'National rollout'!G80</x:f>
        <x:v>485000</x:v>
      </x:c>
      <x:c r="H91" s="74" t="n">
        <x:f>'National rollout'!H80</x:f>
        <x:v>1155000</x:v>
      </x:c>
      <x:c r="I91" s="74" t="n">
        <x:f>'National rollout'!I80</x:f>
        <x:v>2525000</x:v>
      </x:c>
      <x:c r="J91" s="74" t="n">
        <x:f>'National rollout'!J80</x:f>
        <x:v>4250000</x:v>
      </x:c>
    </x:row>
  </x:sheetData>
  <x:mergeCells>
    <x:mergeCell ref="C79:J80"/>
    <x:mergeCell ref="C82:J83"/>
  </x:mergeCells>
  <x:conditionalFormatting sqref="D72:J76">
    <x:cfRule type="expression" dxfId="4" priority="1">
      <x:formula>ABS(D72)&gt;0.000001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Ownership and dilution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 t="str">
        <x:v>Owner</x:v>
      </x:c>
      <x:c r="D5" s="81" t="str">
        <x:v>Before financing</x:v>
      </x:c>
      <x:c r="E5" s="81" t="str">
        <x:v>After round 1</x:v>
      </x:c>
      <x:c r="F5" s="81" t="str">
        <x:v>After round 2</x:v>
      </x:c>
      <x:c r="G5" s="81" t="str">
        <x:v>After option pool</x:v>
      </x:c>
      <x:c r="H5" s="81"/>
      <x:c r="I5" s="81"/>
      <x:c r="J5" s="81"/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Patrick</x:v>
      </x:c>
      <x:c r="D7" s="51" t="n">
        <x:f>'Assumptions'!$D$95</x:f>
        <x:v>0.7</x:v>
      </x:c>
      <x:c r="E7" s="51" t="n">
        <x:f>D7*(1-'Assumptions'!$D$96)</x:f>
        <x:v>0.5599999999999999</x:v>
      </x:c>
      <x:c r="F7" s="51" t="n">
        <x:f>E7*(1-'Assumptions'!$D$97)</x:f>
        <x:v>0.44799999999999995</x:v>
      </x:c>
      <x:c r="G7" s="16" t="n">
        <x:f>F7*(1-$D$21)</x:f>
        <x:v>0.40319999999999995</x:v>
      </x:c>
      <x:c r="H7" s="6"/>
      <x:c r="I7" s="6"/>
      <x:c r="J7" s="6"/>
      <x:c r="K7" s="1"/>
      <x:c r="L7" s="1"/>
      <x:c r="M7" s="1"/>
    </x:row>
    <x:row r="8" ht="22" customHeight="1">
      <x:c r="A8" s="1"/>
      <x:c r="B8" s="1"/>
      <x:c r="C8" s="1" t="str">
        <x:v>Other initial owners</x:v>
      </x:c>
      <x:c r="D8" s="16" t="n">
        <x:f>1-D7</x:f>
        <x:v>0.30000000000000004</x:v>
      </x:c>
      <x:c r="E8" s="51" t="n">
        <x:f>D8*(1-'Assumptions'!$D$96)</x:f>
        <x:v>0.24000000000000005</x:v>
      </x:c>
      <x:c r="F8" s="51" t="n">
        <x:f>E8*(1-'Assumptions'!$D$97)</x:f>
        <x:v>0.19200000000000006</x:v>
      </x:c>
      <x:c r="G8" s="16" t="n">
        <x:f>F8*(1-$D$21)</x:f>
        <x:v>0.17280000000000006</x:v>
      </x:c>
      <x:c r="H8" s="6"/>
      <x:c r="I8" s="6"/>
      <x:c r="J8" s="6"/>
      <x:c r="K8" s="1"/>
      <x:c r="L8" s="1"/>
      <x:c r="M8" s="1"/>
    </x:row>
    <x:row r="9" ht="22" customHeight="1">
      <x:c r="A9" s="1"/>
      <x:c r="B9" s="1"/>
      <x:c r="C9" s="1" t="str">
        <x:v>Round 1 investors</x:v>
      </x:c>
      <x:c r="D9" s="70" t="n">
        <x:v>0</x:v>
      </x:c>
      <x:c r="E9" s="51" t="n">
        <x:f>'Assumptions'!$D$96</x:f>
        <x:v>0.2</x:v>
      </x:c>
      <x:c r="F9" s="51" t="n">
        <x:f>E9*(1-'Assumptions'!$D$97)</x:f>
        <x:v>0.16000000000000003</x:v>
      </x:c>
      <x:c r="G9" s="16" t="n">
        <x:f>F9*(1-$D$21)</x:f>
        <x:v>0.14400000000000004</x:v>
      </x:c>
      <x:c r="H9" s="6"/>
      <x:c r="I9" s="6"/>
      <x:c r="J9" s="6"/>
      <x:c r="K9" s="1"/>
      <x:c r="L9" s="1"/>
      <x:c r="M9" s="1"/>
    </x:row>
    <x:row r="10" ht="22" customHeight="1">
      <x:c r="A10" s="1"/>
      <x:c r="B10" s="1"/>
      <x:c r="C10" s="1" t="str">
        <x:v>Round 2 investors</x:v>
      </x:c>
      <x:c r="D10" s="70" t="n">
        <x:v>0</x:v>
      </x:c>
      <x:c r="E10" s="51" t="n">
        <x:f>D10*(1-'Assumptions'!$D$96)</x:f>
        <x:v>0</x:v>
      </x:c>
      <x:c r="F10" s="51" t="n">
        <x:f>'Assumptions'!$D$97</x:f>
        <x:v>0.2</x:v>
      </x:c>
      <x:c r="G10" s="16" t="n">
        <x:f>F10*(1-$D$21)</x:f>
        <x:v>0.18000000000000002</x:v>
      </x:c>
      <x:c r="H10" s="6"/>
      <x:c r="I10" s="6"/>
      <x:c r="J10" s="6"/>
      <x:c r="K10" s="1"/>
      <x:c r="L10" s="1"/>
      <x:c r="M10" s="1"/>
    </x:row>
    <x:row r="11" ht="22" customHeight="1">
      <x:c r="A11" s="1"/>
      <x:c r="B11" s="1"/>
      <x:c r="C11" s="1" t="str">
        <x:v>New option pool</x:v>
      </x:c>
      <x:c r="D11" s="70" t="n">
        <x:v>0</x:v>
      </x:c>
      <x:c r="E11" s="51" t="n">
        <x:f>D11*(1-'Assumptions'!$D$96)</x:f>
        <x:v>0</x:v>
      </x:c>
      <x:c r="F11" s="51" t="n">
        <x:f>E11*(1-'Assumptions'!$D$97)</x:f>
        <x:v>0</x:v>
      </x:c>
      <x:c r="G11" s="16" t="n">
        <x:f>$D$21</x:f>
        <x:v>0.1</x:v>
      </x:c>
      <x:c r="H11" s="6"/>
      <x:c r="I11" s="6"/>
      <x:c r="J11" s="6"/>
      <x:c r="K11" s="1"/>
      <x:c r="L11" s="1"/>
      <x:c r="M11" s="1"/>
    </x:row>
    <x:row r="12" ht="22" customHeight="1">
      <x:c r="A12" s="1"/>
      <x:c r="B12" s="1"/>
      <x:c r="C12" s="1" t="str">
        <x:v>Total ownership</x:v>
      </x:c>
      <x:c r="D12" s="16" t="n">
        <x:f>SUM(D7:D11)</x:f>
        <x:v>1</x:v>
      </x:c>
      <x:c r="E12" s="16" t="n">
        <x:f>SUM(E7:E11)</x:f>
        <x:v>1</x:v>
      </x:c>
      <x:c r="F12" s="16" t="n">
        <x:f>SUM(F7:F11)</x:f>
        <x:v>1</x:v>
      </x:c>
      <x:c r="G12" s="16" t="n">
        <x:f>SUM(G7:G11)</x:f>
        <x:v>1.0000000000000002</x:v>
      </x:c>
      <x:c r="H12" s="6"/>
      <x:c r="I12" s="6"/>
      <x:c r="J12" s="6"/>
      <x:c r="K12" s="1"/>
      <x:c r="L12" s="1"/>
      <x:c r="M12" s="1"/>
    </x:row>
    <x:row r="13" ht="22" customHeight="1">
      <x:c r="A13" s="1"/>
      <x:c r="B13" s="1"/>
      <x:c r="C13" s="1"/>
      <x:c r="D13" s="6"/>
      <x:c r="E13" s="6"/>
      <x:c r="F13" s="6"/>
      <x:c r="G13" s="6"/>
      <x:c r="H13" s="6"/>
      <x:c r="I13" s="6"/>
      <x:c r="J13" s="6"/>
      <x:c r="K13" s="1"/>
      <x:c r="L13" s="1"/>
      <x:c r="M13" s="1"/>
    </x:row>
    <x:row r="14" ht="22" customHeight="1">
      <x:c r="A14" s="1"/>
      <x:c r="B14" s="1"/>
      <x:c r="C14" s="1"/>
      <x:c r="D14" s="6"/>
      <x:c r="E14" s="6"/>
      <x:c r="F14" s="6"/>
      <x:c r="G14" s="6"/>
      <x:c r="H14" s="6"/>
      <x:c r="I14" s="6"/>
      <x:c r="J14" s="6"/>
      <x:c r="K14" s="1"/>
      <x:c r="L14" s="1"/>
      <x:c r="M14" s="1"/>
    </x:row>
    <x:row r="15" ht="22" customHeight="1">
      <x:c r="A15" s="1"/>
      <x:c r="B15" s="1"/>
      <x:c r="C15" s="1"/>
      <x:c r="D15" s="6"/>
      <x:c r="E15" s="6"/>
      <x:c r="F15" s="6"/>
      <x:c r="G15" s="6"/>
      <x:c r="H15" s="6"/>
      <x:c r="I15" s="6"/>
      <x:c r="J15" s="6"/>
      <x:c r="K15" s="1"/>
      <x:c r="L15" s="1"/>
      <x:c r="M15" s="1"/>
    </x:row>
    <x:row r="16" ht="22" customHeight="1">
      <x:c r="A16" s="1"/>
      <x:c r="B16" s="1"/>
      <x:c r="C16" s="1" t="str">
        <x:v>Illustrative round 1 proceeds</x:v>
      </x:c>
      <x:c r="D16" s="50" t="n">
        <x:f>'Assumptions'!$D$92</x:f>
        <x:v>1500000</x:v>
      </x:c>
      <x:c r="E16" s="6"/>
      <x:c r="F16" s="6"/>
      <x:c r="G16" s="6"/>
      <x:c r="H16" s="6"/>
      <x:c r="I16" s="6"/>
      <x:c r="J16" s="6"/>
      <x:c r="K16" s="1"/>
      <x:c r="L16" s="1"/>
      <x:c r="M16" s="1"/>
    </x:row>
    <x:row r="17" ht="22" customHeight="1">
      <x:c r="A17" s="1"/>
      <x:c r="B17" s="1"/>
      <x:c r="C17" s="1" t="str">
        <x:v>New investor share</x:v>
      </x:c>
      <x:c r="D17" s="51" t="n">
        <x:f>'Assumptions'!$D$96</x:f>
        <x:v>0.2</x:v>
      </x:c>
      <x:c r="E17" s="6"/>
      <x:c r="F17" s="6"/>
      <x:c r="G17" s="6"/>
      <x:c r="H17" s="6"/>
      <x:c r="I17" s="6"/>
      <x:c r="J17" s="6"/>
      <x:c r="K17" s="1"/>
      <x:c r="L17" s="1"/>
      <x:c r="M17" s="1"/>
    </x:row>
    <x:row r="18" ht="22" customHeight="1">
      <x:c r="A18" s="1"/>
      <x:c r="B18" s="1"/>
      <x:c r="C18" s="1" t="str">
        <x:v>Implied post-money valuation</x:v>
      </x:c>
      <x:c r="D18" s="22" t="n">
        <x:f>D16/D17</x:f>
        <x:v>7500000</x:v>
      </x:c>
      <x:c r="E18" s="6"/>
      <x:c r="F18" s="6"/>
      <x:c r="G18" s="6"/>
      <x:c r="H18" s="6"/>
      <x:c r="I18" s="6"/>
      <x:c r="J18" s="6"/>
      <x:c r="K18" s="1"/>
      <x:c r="L18" s="1"/>
      <x:c r="M18" s="1"/>
    </x:row>
    <x:row r="19" ht="22" customHeight="1">
      <x:c r="A19" s="1"/>
      <x:c r="B19" s="1"/>
      <x:c r="C19" s="1" t="str">
        <x:v>Implied pre-money valuation</x:v>
      </x:c>
      <x:c r="D19" s="22" t="n">
        <x:f>D18-D16</x:f>
        <x:v>6000000</x:v>
      </x:c>
      <x:c r="E19" s="6"/>
      <x:c r="F19" s="6"/>
      <x:c r="G19" s="6"/>
      <x:c r="H19" s="6"/>
      <x:c r="I19" s="6"/>
      <x:c r="J19" s="6"/>
      <x:c r="K19" s="1"/>
      <x:c r="L19" s="1"/>
      <x:c r="M19" s="1"/>
    </x:row>
    <x:row r="20" ht="22" customHeight="1">
      <x:c r="A20" s="1"/>
      <x:c r="B20" s="1"/>
      <x:c r="C20" s="1"/>
      <x:c r="D20" s="6"/>
      <x:c r="E20" s="6"/>
      <x:c r="F20" s="6"/>
      <x:c r="G20" s="6"/>
      <x:c r="H20" s="6"/>
      <x:c r="I20" s="6"/>
      <x:c r="J20" s="6"/>
      <x:c r="K20" s="1"/>
      <x:c r="L20" s="1"/>
      <x:c r="M20" s="1"/>
    </x:row>
    <x:row r="21" ht="22" customHeight="1">
      <x:c r="A21" s="1"/>
      <x:c r="B21" s="1"/>
      <x:c r="C21" s="1" t="str">
        <x:v>Optional pool after round 2</x:v>
      </x:c>
      <x:c r="D21" s="17" t="n">
        <x:v>0.1</x:v>
      </x:c>
      <x:c r="E21" s="6"/>
      <x:c r="F21" s="6"/>
      <x:c r="G21" s="6"/>
      <x:c r="H21" s="6"/>
      <x:c r="I21" s="6"/>
      <x:c r="J21" s="6"/>
      <x:c r="K21" s="1"/>
      <x:c r="L21" s="1"/>
      <x:c r="M21" s="1"/>
    </x:row>
    <x:row r="22" ht="22" customHeight="1">
      <x:c r="A22" s="1"/>
      <x:c r="B22" s="1"/>
      <x:c r="C22" s="1"/>
      <x:c r="D22" s="6"/>
      <x:c r="E22" s="6"/>
      <x:c r="F22" s="6"/>
      <x:c r="G22" s="6"/>
      <x:c r="H22" s="6"/>
      <x:c r="I22" s="6"/>
      <x:c r="J22" s="6"/>
      <x:c r="K22" s="1"/>
      <x:c r="L22" s="1"/>
      <x:c r="M22" s="1"/>
    </x:row>
    <x:row r="23" ht="22" customHeight="1">
      <x:c r="A23" s="1"/>
      <x:c r="B23" s="1"/>
      <x:c r="C23" s="1"/>
      <x:c r="D23" s="6"/>
      <x:c r="E23" s="6"/>
      <x:c r="F23" s="6"/>
      <x:c r="G23" s="6"/>
      <x:c r="H23" s="6"/>
      <x:c r="I23" s="6"/>
      <x:c r="J23" s="6"/>
      <x:c r="K23" s="1"/>
      <x:c r="L23" s="1"/>
      <x:c r="M23" s="1"/>
    </x:row>
    <x:row r="24" ht="22" customHeight="1">
      <x:c r="A24" s="1"/>
      <x:c r="B24" s="1"/>
      <x:c r="C24" s="32" t="str">
        <x:v>70% / 30% is the requested founding allocation before new investors. Each modeled financing issues new shares and dilutes every existing holder proportionately. The 30% is not reserved as the future investor pool.</x:v>
      </x:c>
      <x:c r="D24" s="33"/>
      <x:c r="E24" s="33"/>
      <x:c r="F24" s="33"/>
      <x:c r="G24" s="33"/>
      <x:c r="H24" s="33"/>
      <x:c r="I24" s="33"/>
      <x:c r="J24" s="33"/>
      <x:c r="K24" s="1"/>
      <x:c r="L24" s="1"/>
      <x:c r="M24" s="1"/>
    </x:row>
    <x:row r="25" ht="22" customHeight="1">
      <x:c r="A25" s="1"/>
      <x:c r="B25" s="1"/>
      <x:c r="C25" s="32"/>
      <x:c r="D25" s="33"/>
      <x:c r="E25" s="33"/>
      <x:c r="F25" s="33"/>
      <x:c r="G25" s="33"/>
      <x:c r="H25" s="33"/>
      <x:c r="I25" s="33"/>
      <x:c r="J25" s="33"/>
      <x:c r="K25" s="1"/>
      <x:c r="L25" s="1"/>
      <x:c r="M25" s="1"/>
    </x:row>
    <x:row r="26" ht="22" customHeight="1">
      <x:c r="A26" s="1"/>
      <x:c r="B26" s="1"/>
      <x:c r="C26" s="1"/>
      <x:c r="D26" s="6"/>
      <x:c r="E26" s="6"/>
      <x:c r="F26" s="6"/>
      <x:c r="G26" s="6"/>
      <x:c r="H26" s="6"/>
      <x:c r="I26" s="6"/>
      <x:c r="J26" s="6"/>
      <x:c r="K26" s="1"/>
      <x:c r="L26" s="1"/>
      <x:c r="M26" s="1"/>
    </x:row>
    <x:row r="27" ht="22" customHeight="1">
      <x:c r="A27" s="1"/>
      <x:c r="B27" s="1"/>
      <x:c r="C27" s="32" t="str">
        <x:v>Round 1 illustrates $1.50m for 20%. Round 2 illustrates 20% dilution only. These terms are not approved or supported by a priced-round valuation analysis.</x:v>
      </x:c>
      <x:c r="D27" s="33"/>
      <x:c r="E27" s="33"/>
      <x:c r="F27" s="33"/>
      <x:c r="G27" s="33"/>
      <x:c r="H27" s="33"/>
      <x:c r="I27" s="33"/>
      <x:c r="J27" s="33"/>
      <x:c r="K27" s="1"/>
      <x:c r="L27" s="1"/>
      <x:c r="M27" s="1"/>
    </x:row>
    <x:row r="28" ht="22" customHeight="1">
      <x:c r="A28" s="1"/>
      <x:c r="B28" s="1"/>
      <x:c r="C28" s="32"/>
      <x:c r="D28" s="33"/>
      <x:c r="E28" s="33"/>
      <x:c r="F28" s="33"/>
      <x:c r="G28" s="33"/>
      <x:c r="H28" s="33"/>
      <x:c r="I28" s="33"/>
      <x:c r="J28" s="33"/>
      <x:c r="K28" s="1"/>
      <x:c r="L28" s="1"/>
      <x:c r="M28" s="1"/>
    </x:row>
    <x:row r="29" ht="22" customHeight="1">
      <x:c r="A29" s="1"/>
      <x:c r="B29" s="1"/>
      <x:c r="C29" s="1"/>
      <x:c r="D29" s="6"/>
      <x:c r="E29" s="6"/>
      <x:c r="F29" s="6"/>
      <x:c r="G29" s="6"/>
      <x:c r="H29" s="6"/>
      <x:c r="I29" s="6"/>
      <x:c r="J29" s="6"/>
      <x:c r="K29" s="1"/>
      <x:c r="L29" s="1"/>
      <x:c r="M29" s="1"/>
    </x:row>
    <x:row r="30" ht="22" customHeight="1">
      <x:c r="A30" s="1"/>
      <x:c r="B30" s="1"/>
      <x:c r="C30" s="32" t="str">
        <x:v>Optional 10% post-round-2 pool shows additional dilution. No SAFEs, convertible notes, warrants, preferred rights or secondary sales. Economic ownership does not determine board or voting control.</x:v>
      </x:c>
      <x:c r="D30" s="33"/>
      <x:c r="E30" s="33"/>
      <x:c r="F30" s="33"/>
      <x:c r="G30" s="33"/>
      <x:c r="H30" s="33"/>
      <x:c r="I30" s="33"/>
      <x:c r="J30" s="33"/>
      <x:c r="K30" s="1"/>
      <x:c r="L30" s="1"/>
      <x:c r="M30" s="1"/>
    </x:row>
    <x:row r="31" ht="22" customHeight="1">
      <x:c r="A31" s="1"/>
      <x:c r="B31" s="1"/>
      <x:c r="C31" s="32"/>
      <x:c r="D31" s="33"/>
      <x:c r="E31" s="33"/>
      <x:c r="F31" s="33"/>
      <x:c r="G31" s="33"/>
      <x:c r="H31" s="33"/>
      <x:c r="I31" s="33"/>
      <x:c r="J31" s="33"/>
      <x:c r="K31" s="1"/>
      <x:c r="L31" s="1"/>
      <x:c r="M31" s="1"/>
    </x:row>
    <x:row r="32" ht="22" customHeight="1">
      <x:c r="A32" s="1"/>
      <x:c r="B32" s="1"/>
      <x:c r="C32" s="1"/>
      <x:c r="D32" s="6"/>
      <x:c r="E32" s="6"/>
      <x:c r="F32" s="6"/>
      <x:c r="G32" s="6"/>
      <x:c r="H32" s="6"/>
      <x:c r="I32" s="6"/>
      <x:c r="J32" s="6"/>
      <x:c r="K32" s="1"/>
      <x:c r="L32" s="1"/>
      <x:c r="M32" s="1"/>
    </x:row>
    <x:row r="33" ht="22" customHeight="1">
      <x:c r="A33" s="1"/>
      <x:c r="B33" s="1"/>
      <x:c r="C33" s="1"/>
      <x:c r="D33" s="6"/>
      <x:c r="E33" s="6"/>
      <x:c r="F33" s="6"/>
      <x:c r="G33" s="6"/>
      <x:c r="H33" s="6"/>
      <x:c r="I33" s="6"/>
      <x:c r="J33" s="6"/>
      <x:c r="K33" s="1"/>
      <x:c r="L33" s="1"/>
      <x:c r="M33" s="1"/>
    </x:row>
    <x:row r="34" ht="22" customHeight="1">
      <x:c r="A34" s="1"/>
      <x:c r="B34" s="1"/>
      <x:c r="C34" s="1" t="str">
        <x:v>Illustrative exit equity value</x:v>
      </x:c>
      <x:c r="D34" s="23" t="n">
        <x:v>0</x:v>
      </x:c>
      <x:c r="E34" s="23" t="n">
        <x:v>10000000</x:v>
      </x:c>
      <x:c r="F34" s="23" t="n">
        <x:v>50000000</x:v>
      </x:c>
      <x:c r="G34" s="23" t="n">
        <x:v>100000000</x:v>
      </x:c>
      <x:c r="H34" s="6"/>
      <x:c r="I34" s="6"/>
      <x:c r="J34" s="6"/>
      <x:c r="K34" s="1"/>
      <x:c r="L34" s="1"/>
      <x:c r="M34" s="1"/>
    </x:row>
    <x:row r="35" ht="22" customHeight="1">
      <x:c r="A35" s="1"/>
      <x:c r="B35" s="1"/>
      <x:c r="C35" s="1" t="str">
        <x:v>Round 1 gross proceeds, after round 2</x:v>
      </x:c>
      <x:c r="D35" s="22" t="n">
        <x:f>D34*$F$9</x:f>
        <x:v>0</x:v>
      </x:c>
      <x:c r="E35" s="22" t="n">
        <x:f>E34*$F$9</x:f>
        <x:v>1600000.0000000002</x:v>
      </x:c>
      <x:c r="F35" s="22" t="n">
        <x:f>F34*$F$9</x:f>
        <x:v>8000000.000000002</x:v>
      </x:c>
      <x:c r="G35" s="22" t="n">
        <x:f>G34*$F$9</x:f>
        <x:v>16000000.000000004</x:v>
      </x:c>
      <x:c r="H35" s="6"/>
      <x:c r="I35" s="6"/>
      <x:c r="J35" s="6"/>
      <x:c r="K35" s="1"/>
      <x:c r="L35" s="1"/>
      <x:c r="M35" s="1"/>
    </x:row>
    <x:row r="36" ht="22" customHeight="1">
      <x:c r="A36" s="1"/>
      <x:c r="B36" s="1"/>
      <x:c r="C36" s="1" t="str">
        <x:v>Round 1 gross investment multiple</x:v>
      </x:c>
      <x:c r="D36" s="76" t="n">
        <x:f>D35/$D$16</x:f>
        <x:v>0</x:v>
      </x:c>
      <x:c r="E36" s="76" t="n">
        <x:f>E35/$D$16</x:f>
        <x:v>1.0666666666666669</x:v>
      </x:c>
      <x:c r="F36" s="76" t="n">
        <x:f>F35/$D$16</x:f>
        <x:v>5.333333333333335</x:v>
      </x:c>
      <x:c r="G36" s="76" t="n">
        <x:f>G35/$D$16</x:f>
        <x:v>10.66666666666667</x:v>
      </x:c>
      <x:c r="H36" s="6"/>
      <x:c r="I36" s="6"/>
      <x:c r="J36" s="6"/>
      <x:c r="K36" s="1"/>
      <x:c r="L36" s="1"/>
      <x:c r="M36" s="1"/>
    </x:row>
    <x:row r="37" ht="22" customHeight="1">
      <x:c r="A37" s="1"/>
      <x:c r="B37" s="1"/>
      <x:c r="C37" s="1"/>
      <x:c r="D37" s="6"/>
      <x:c r="E37" s="6"/>
      <x:c r="F37" s="6"/>
      <x:c r="G37" s="6"/>
      <x:c r="H37" s="6"/>
      <x:c r="I37" s="6"/>
      <x:c r="J37" s="6"/>
      <x:c r="K37" s="1"/>
      <x:c r="L37" s="1"/>
      <x:c r="M37" s="1"/>
    </x:row>
    <x:row r="38" ht="22" customHeight="1">
      <x:c r="A38" s="1"/>
      <x:c r="B38" s="1"/>
      <x:c r="C38" s="1"/>
      <x:c r="D38" s="6"/>
      <x:c r="E38" s="6"/>
      <x:c r="F38" s="6"/>
      <x:c r="G38" s="6"/>
      <x:c r="H38" s="6"/>
      <x:c r="I38" s="6"/>
      <x:c r="J38" s="6"/>
      <x:c r="K38" s="1"/>
      <x:c r="L38" s="1"/>
      <x:c r="M38" s="1"/>
    </x:row>
    <x:row r="39" ht="22" customHeight="1">
      <x:c r="A39" s="1"/>
      <x:c r="B39" s="1"/>
      <x:c r="C39" s="32" t="str">
        <x:v>Return arithmetic only, not an exit forecast or comparable-company valuation. Uses 16% after round 2, excludes optional pool, taxes, fees, liquidation preferences and further dilution. Complete loss is possible.</x:v>
      </x:c>
      <x:c r="D39" s="33"/>
      <x:c r="E39" s="33"/>
      <x:c r="F39" s="33"/>
      <x:c r="G39" s="33"/>
      <x:c r="H39" s="33"/>
      <x:c r="I39" s="33"/>
      <x:c r="J39" s="33"/>
      <x:c r="K39" s="1"/>
      <x:c r="L39" s="1"/>
      <x:c r="M39" s="1"/>
    </x:row>
    <x:row r="40" ht="22" customHeight="1">
      <x:c r="A40" s="1"/>
      <x:c r="B40" s="1"/>
      <x:c r="C40" s="32"/>
      <x:c r="D40" s="33"/>
      <x:c r="E40" s="33"/>
      <x:c r="F40" s="33"/>
      <x:c r="G40" s="33"/>
      <x:c r="H40" s="33"/>
      <x:c r="I40" s="33"/>
      <x:c r="J40" s="33"/>
      <x:c r="K40" s="1"/>
      <x:c r="L40" s="1"/>
      <x:c r="M40" s="1"/>
    </x:row>
    <x:row r="41" ht="22" customHeight="1">
      <x:c r="A41" s="1"/>
      <x:c r="B41" s="1"/>
      <x:c r="C41" s="1"/>
      <x:c r="D41" s="6"/>
      <x:c r="E41" s="6"/>
      <x:c r="F41" s="6"/>
      <x:c r="G41" s="6"/>
      <x:c r="H41" s="6"/>
      <x:c r="I41" s="6"/>
      <x:c r="J41" s="6"/>
      <x:c r="K41" s="1"/>
      <x:c r="L41" s="1"/>
      <x:c r="M41" s="1"/>
    </x:row>
    <x:row r="42" ht="22" customHeight="1">
      <x:c r="A42" s="1"/>
      <x:c r="B42" s="1"/>
      <x:c r="C42" s="1"/>
      <x:c r="D42" s="6"/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22" customHeight="1">
      <x:c r="A43" s="1"/>
      <x:c r="B43" s="1"/>
      <x:c r="C43" s="1"/>
      <x:c r="D43" s="6"/>
      <x:c r="E43" s="6"/>
      <x:c r="F43" s="6"/>
      <x:c r="G43" s="6"/>
      <x:c r="H43" s="6"/>
      <x:c r="I43" s="6"/>
      <x:c r="J43" s="6"/>
      <x:c r="K43" s="1"/>
      <x:c r="L43" s="1"/>
      <x:c r="M43" s="1"/>
    </x:row>
  </x:sheetData>
  <x:mergeCells>
    <x:mergeCell ref="C24:J25"/>
    <x:mergeCell ref="C27:J28"/>
    <x:mergeCell ref="C30:J31"/>
    <x:mergeCell ref="C39:J4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Relationship economics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Active case</x:v>
      </x:c>
      <x:c r="D3" s="59" t="str">
        <x:f>'Assumptions'!D3</x:f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 t="str">
        <x:v>New customer / provider relationship</x:v>
      </x:c>
      <x:c r="D5" s="81" t="str">
        <x:v>Typical property</x:v>
      </x:c>
      <x:c r="E5" s="81" t="str">
        <x:v>Large property</x:v>
      </x:c>
      <x:c r="F5" s="81" t="str">
        <x:v>Very large property</x:v>
      </x:c>
      <x:c r="G5" s="81"/>
      <x:c r="H5" s="81"/>
      <x:c r="I5" s="81"/>
      <x:c r="J5" s="81"/>
      <x:c r="K5" s="1"/>
      <x:c r="L5" s="1"/>
      <x:c r="M5" s="1"/>
    </x:row>
    <x:row r="6" ht="22" customHeight="1">
      <x:c r="A6" s="1"/>
      <x:c r="B6" s="1"/>
      <x:c r="C6" s="1" t="str">
        <x:v>Illustrative first service bill</x:v>
      </x:c>
      <x:c r="D6" s="27" t="n">
        <x:v>60</x:v>
      </x:c>
      <x:c r="E6" s="27" t="n">
        <x:v>150</x:v>
      </x:c>
      <x:c r="F6" s="27" t="n">
        <x:v>500</x:v>
      </x:c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One-time finder fee</x:v>
      </x:c>
      <x:c r="D7" s="63" t="n">
        <x:f>'Assumptions'!$D$69</x:f>
        <x:v>75</x:v>
      </x:c>
      <x:c r="E7" s="63" t="n">
        <x:f>'Assumptions'!$D$133</x:f>
        <x:v>110</x:v>
      </x:c>
      <x:c r="F7" s="63" t="n">
        <x:f>'Assumptions'!$D$134</x:f>
        <x:v>150</x:v>
      </x:c>
      <x:c r="G7" s="6"/>
      <x:c r="H7" s="6"/>
      <x:c r="I7" s="6"/>
      <x:c r="J7" s="6"/>
      <x:c r="K7" s="1"/>
      <x:c r="L7" s="1"/>
      <x:c r="M7" s="1"/>
    </x:row>
    <x:row r="8" ht="22" customHeight="1">
      <x:c r="A8" s="1"/>
      <x:c r="B8" s="1"/>
      <x:c r="C8" s="1" t="str">
        <x:v>Provider onboarding and verification</x:v>
      </x:c>
      <x:c r="D8" s="63" t="n">
        <x:f>'Assumptions'!$D$87</x:f>
        <x:v>75</x:v>
      </x:c>
      <x:c r="E8" s="63" t="n">
        <x:f>'Assumptions'!$D$87</x:f>
        <x:v>75</x:v>
      </x:c>
      <x:c r="F8" s="63" t="n">
        <x:f>'Assumptions'!$D$87</x:f>
        <x:v>75</x:v>
      </x:c>
      <x:c r="G8" s="6"/>
      <x:c r="H8" s="6"/>
      <x:c r="I8" s="6"/>
      <x:c r="J8" s="6"/>
      <x:c r="K8" s="1"/>
      <x:c r="L8" s="1"/>
      <x:c r="M8" s="1"/>
    </x:row>
    <x:row r="9" ht="22" customHeight="1">
      <x:c r="A9" s="1"/>
      <x:c r="B9" s="1"/>
      <x:c r="C9" s="1" t="str">
        <x:v>Customer acquisition cost / 2031 base</x:v>
      </x:c>
      <x:c r="D9" s="63" t="n">
        <x:f>'Assumptions'!H42</x:f>
        <x:v>35</x:v>
      </x:c>
      <x:c r="E9" s="63" t="n">
        <x:f>'Assumptions'!H42</x:f>
        <x:v>35</x:v>
      </x:c>
      <x:c r="F9" s="63" t="n">
        <x:f>'Assumptions'!H42</x:f>
        <x:v>35</x:v>
      </x:c>
      <x:c r="G9" s="6"/>
      <x:c r="H9" s="6"/>
      <x:c r="I9" s="6"/>
      <x:c r="J9" s="6"/>
      <x:c r="K9" s="1"/>
      <x:c r="L9" s="1"/>
      <x:c r="M9" s="1"/>
    </x:row>
    <x:row r="10" ht="22" customHeight="1">
      <x:c r="A10" s="1"/>
      <x:c r="B10" s="1"/>
      <x:c r="C10" s="4" t="str">
        <x:v>First-relationship contribution before fixed costs</x:v>
      </x:c>
      <x:c r="D10" s="67" t="n">
        <x:f>D7-D8-D9</x:f>
        <x:v>-35</x:v>
      </x:c>
      <x:c r="E10" s="67" t="n">
        <x:f>E7-E8-E9</x:f>
        <x:v>0</x:v>
      </x:c>
      <x:c r="F10" s="67" t="n">
        <x:f>F7-F8-F9</x:f>
        <x:v>40</x:v>
      </x:c>
      <x:c r="G10" s="6"/>
      <x:c r="H10" s="6"/>
      <x:c r="I10" s="6"/>
      <x:c r="J10" s="6"/>
      <x:c r="K10" s="1"/>
      <x:c r="L10" s="1"/>
      <x:c r="M10" s="1"/>
    </x:row>
    <x:row r="11" ht="22" customHeight="1">
      <x:c r="A11" s="1"/>
      <x:c r="B11" s="1"/>
      <x:c r="C11" s="1"/>
      <x:c r="D11" s="69"/>
      <x:c r="E11" s="69"/>
      <x:c r="F11" s="69"/>
      <x:c r="G11" s="6"/>
      <x:c r="H11" s="6"/>
      <x:c r="I11" s="6"/>
      <x:c r="J11" s="6"/>
      <x:c r="K11" s="1"/>
      <x:c r="L11" s="1"/>
      <x:c r="M11" s="1"/>
    </x:row>
    <x:row r="12" ht="22" customHeight="1">
      <x:c r="A12" s="1"/>
      <x:c r="B12" s="1"/>
      <x:c r="C12" s="1" t="str">
        <x:v>Repeat service price retained by provider</x:v>
      </x:c>
      <x:c r="D12" s="34" t="n">
        <x:f>D6</x:f>
        <x:v>60</x:v>
      </x:c>
      <x:c r="E12" s="34" t="n">
        <x:f>E6</x:f>
        <x:v>150</x:v>
      </x:c>
      <x:c r="F12" s="34" t="n">
        <x:f>F6</x:f>
        <x:v>500</x:v>
      </x:c>
      <x:c r="G12" s="6"/>
      <x:c r="H12" s="6"/>
      <x:c r="I12" s="6"/>
      <x:c r="J12" s="6"/>
      <x:c r="K12" s="1"/>
      <x:c r="L12" s="1"/>
      <x:c r="M12" s="1"/>
    </x:row>
    <x:row r="13" ht="22" customHeight="1">
      <x:c r="A13" s="1"/>
      <x:c r="B13" s="1"/>
      <x:c r="C13" s="1" t="str">
        <x:v>YardMatch recurring service fee</x:v>
      </x:c>
      <x:c r="D13" s="69" t="n">
        <x:v>0</x:v>
      </x:c>
      <x:c r="E13" s="69" t="n">
        <x:v>0</x:v>
      </x:c>
      <x:c r="F13" s="69" t="n">
        <x:v>0</x:v>
      </x:c>
      <x:c r="G13" s="6"/>
      <x:c r="H13" s="6"/>
      <x:c r="I13" s="6"/>
      <x:c r="J13" s="6"/>
      <x:c r="K13" s="1"/>
      <x:c r="L13" s="1"/>
      <x:c r="M13" s="1"/>
    </x:row>
    <x:row r="14" ht="22" customHeight="1">
      <x:c r="A14" s="1"/>
      <x:c r="B14" s="1"/>
      <x:c r="C14" s="1" t="str">
        <x:v>Support + infrastructure per completed booking</x:v>
      </x:c>
      <x:c r="D14" s="63" t="n">
        <x:f>'Assumptions'!$D$84+'Assumptions'!$D$85</x:f>
        <x:v>0.25</x:v>
      </x:c>
      <x:c r="E14" s="63" t="n">
        <x:f>'Assumptions'!$D$84+'Assumptions'!$D$85</x:f>
        <x:v>0.25</x:v>
      </x:c>
      <x:c r="F14" s="63" t="n">
        <x:f>'Assumptions'!$D$84+'Assumptions'!$D$85</x:f>
        <x:v>0.25</x:v>
      </x:c>
      <x:c r="G14" s="6"/>
      <x:c r="H14" s="6"/>
      <x:c r="I14" s="6"/>
      <x:c r="J14" s="6"/>
      <x:c r="K14" s="1"/>
      <x:c r="L14" s="1"/>
      <x:c r="M14" s="1"/>
    </x:row>
    <x:row r="15" ht="22" customHeight="1">
      <x:c r="A15" s="1"/>
      <x:c r="B15" s="1"/>
      <x:c r="C15" s="4" t="str">
        <x:v>YardMatch repeat-job contribution</x:v>
      </x:c>
      <x:c r="D15" s="67" t="n">
        <x:f>-D14</x:f>
        <x:v>-0.25</x:v>
      </x:c>
      <x:c r="E15" s="67" t="n">
        <x:f>-E14</x:f>
        <x:v>-0.25</x:v>
      </x:c>
      <x:c r="F15" s="67" t="n">
        <x:f>-F14</x:f>
        <x:v>-0.25</x:v>
      </x:c>
      <x:c r="G15" s="6"/>
      <x:c r="H15" s="6"/>
      <x:c r="I15" s="6"/>
      <x:c r="J15" s="6"/>
      <x:c r="K15" s="1"/>
      <x:c r="L15" s="1"/>
      <x:c r="M15" s="1"/>
    </x:row>
    <x:row r="16" ht="22" customHeight="1">
      <x:c r="A16" s="1"/>
      <x:c r="B16" s="1"/>
      <x:c r="C16" s="1"/>
      <x:c r="D16" s="6"/>
      <x:c r="E16" s="6"/>
      <x:c r="F16" s="6"/>
      <x:c r="G16" s="6"/>
      <x:c r="H16" s="6"/>
      <x:c r="I16" s="6"/>
      <x:c r="J16" s="6"/>
      <x:c r="K16" s="1"/>
      <x:c r="L16" s="1"/>
      <x:c r="M16" s="1"/>
    </x:row>
    <x:row r="17" ht="22" customHeight="1">
      <x:c r="A17" s="1"/>
      <x:c r="B17" s="1"/>
      <x:c r="C17" s="1" t="str">
        <x:v>Illustrative mature-year cohort / 2031</x:v>
      </x:c>
      <x:c r="D17" s="6"/>
      <x:c r="E17" s="6"/>
      <x:c r="F17" s="6"/>
      <x:c r="G17" s="6"/>
      <x:c r="H17" s="6"/>
      <x:c r="I17" s="6"/>
      <x:c r="J17" s="6"/>
      <x:c r="K17" s="1"/>
      <x:c r="L17" s="1"/>
      <x:c r="M17" s="1"/>
    </x:row>
    <x:row r="18" ht="22" customHeight="1">
      <x:c r="A18" s="1"/>
      <x:c r="B18" s="1"/>
      <x:c r="C18" s="1" t="str">
        <x:v>Annual completed bookings / retained household</x:v>
      </x:c>
      <x:c r="D18" s="77" t="n">
        <x:f>'Service mix'!H44*'Assumptions'!H22*'Assumptions'!H27</x:f>
        <x:v>17.9037</x:v>
      </x:c>
      <x:c r="E18" s="6"/>
      <x:c r="F18" s="6"/>
      <x:c r="G18" s="6"/>
      <x:c r="H18" s="6"/>
      <x:c r="I18" s="6"/>
      <x:c r="J18" s="6"/>
      <x:c r="K18" s="1"/>
      <x:c r="L18" s="1"/>
      <x:c r="M18" s="1"/>
    </x:row>
    <x:row r="19" ht="22" customHeight="1">
      <x:c r="A19" s="1"/>
      <x:c r="B19" s="1"/>
      <x:c r="C19" s="1" t="str">
        <x:v>Annual repeat-service contribution / household</x:v>
      </x:c>
      <x:c r="D19" s="63" t="n">
        <x:f>'Operating model'!H69</x:f>
        <x:v>-4.475925</x:v>
      </x:c>
      <x:c r="E19" s="6"/>
      <x:c r="F19" s="6"/>
      <x:c r="G19" s="6"/>
      <x:c r="H19" s="6"/>
      <x:c r="I19" s="6"/>
      <x:c r="J19" s="6"/>
      <x:c r="K19" s="1"/>
      <x:c r="L19" s="1"/>
      <x:c r="M19" s="1"/>
    </x:row>
    <x:row r="20" ht="22" customHeight="1">
      <x:c r="A20" s="1"/>
      <x:c r="B20" s="1"/>
      <x:c r="C20" s="1" t="str">
        <x:v>Net finder revenue / new household</x:v>
      </x:c>
      <x:c r="D20" s="63" t="n">
        <x:f>'Operating model'!H24/'Operating model'!H7</x:f>
        <x:v>89.02664301627276</x:v>
      </x:c>
      <x:c r="E20" s="6"/>
      <x:c r="F20" s="6"/>
      <x:c r="G20" s="6"/>
      <x:c r="H20" s="6"/>
      <x:c r="I20" s="6"/>
      <x:c r="J20" s="6"/>
      <x:c r="K20" s="1"/>
      <x:c r="L20" s="1"/>
      <x:c r="M20" s="1"/>
    </x:row>
    <x:row r="21" ht="22" customHeight="1">
      <x:c r="A21" s="1"/>
      <x:c r="B21" s="1"/>
      <x:c r="C21" s="1" t="str">
        <x:v>Provider onboarding / new household</x:v>
      </x:c>
      <x:c r="D21" s="63" t="n">
        <x:f>'Operating model'!H44/'Operating model'!H7</x:f>
        <x:v>1.8274166989538938</x:v>
      </x:c>
      <x:c r="E21" s="6"/>
      <x:c r="F21" s="6"/>
      <x:c r="G21" s="6"/>
      <x:c r="H21" s="6"/>
      <x:c r="I21" s="6"/>
      <x:c r="J21" s="6"/>
      <x:c r="K21" s="1"/>
      <x:c r="L21" s="1"/>
      <x:c r="M21" s="1"/>
    </x:row>
    <x:row r="22" ht="22" customHeight="1">
      <x:c r="A22" s="1"/>
      <x:c r="B22" s="1"/>
      <x:c r="C22" s="1" t="str">
        <x:v>Customer CAC</x:v>
      </x:c>
      <x:c r="D22" s="63" t="n">
        <x:f>'Assumptions'!H42</x:f>
        <x:v>35</x:v>
      </x:c>
      <x:c r="E22" s="6"/>
      <x:c r="F22" s="6"/>
      <x:c r="G22" s="6"/>
      <x:c r="H22" s="6"/>
      <x:c r="I22" s="6"/>
      <x:c r="J22" s="6"/>
      <x:c r="K22" s="1"/>
      <x:c r="L22" s="1"/>
      <x:c r="M22" s="1"/>
    </x:row>
    <x:row r="23" ht="22" customHeight="1">
      <x:c r="A23" s="1"/>
      <x:c r="B23" s="1"/>
      <x:c r="C23" s="1" t="str">
        <x:v>First-year contribution after acquisition</x:v>
      </x:c>
      <x:c r="D23" s="63" t="n">
        <x:f>D20-D21-D22+D19*'Assumptions'!$D$71</x:f>
        <x:v>49.96126381731886</x:v>
      </x:c>
      <x:c r="E23" s="6"/>
      <x:c r="F23" s="6"/>
      <x:c r="G23" s="6"/>
      <x:c r="H23" s="6"/>
      <x:c r="I23" s="6"/>
      <x:c r="J23" s="6"/>
      <x:c r="K23" s="1"/>
      <x:c r="L23" s="1"/>
      <x:c r="M23" s="1"/>
    </x:row>
    <x:row r="24" ht="22" customHeight="1">
      <x:c r="A24" s="1"/>
      <x:c r="B24" s="1"/>
      <x:c r="C24" s="4" t="str">
        <x:v>Five-year contribution before fixed costs</x:v>
      </x:c>
      <x:c r="D24" s="68" t="n">
        <x:f>D20-D21-D22+'Operating model'!H68*(D18*'Assumptions'!$D$71+D18*'Assumptions'!H12+D18*'Assumptions'!H12^2+D18*'Assumptions'!H12^3+D18*'Assumptions'!H12^4)</x:f>
        <x:v>39.39091933731886</x:v>
      </x:c>
      <x:c r="E24" s="25"/>
      <x:c r="F24" s="25"/>
      <x:c r="G24" s="6"/>
      <x:c r="H24" s="6"/>
      <x:c r="I24" s="6"/>
      <x:c r="J24" s="6"/>
      <x:c r="K24" s="1"/>
      <x:c r="L24" s="1"/>
      <x:c r="M24" s="1"/>
    </x:row>
    <x:row r="25" ht="22" customHeight="1">
      <x:c r="A25" s="1"/>
      <x:c r="B25" s="1"/>
      <x:c r="C25" s="4" t="str">
        <x:v>Five-year contribution / CAC</x:v>
      </x:c>
      <x:c r="D25" s="78" t="n">
        <x:f>D24/D22</x:f>
        <x:v>1.1254548382091103</x:v>
      </x:c>
      <x:c r="E25" s="25"/>
      <x:c r="F25" s="25"/>
      <x:c r="G25" s="6"/>
      <x:c r="H25" s="6"/>
      <x:c r="I25" s="6"/>
      <x:c r="J25" s="6"/>
      <x:c r="K25" s="1"/>
      <x:c r="L25" s="1"/>
      <x:c r="M25" s="1"/>
    </x:row>
    <x:row r="26" ht="22" customHeight="1">
      <x:c r="A26" s="1"/>
      <x:c r="B26" s="1"/>
      <x:c r="C26" s="1"/>
      <x:c r="D26" s="6"/>
      <x:c r="E26" s="6"/>
      <x:c r="F26" s="6"/>
      <x:c r="G26" s="6"/>
      <x:c r="H26" s="6"/>
      <x:c r="I26" s="6"/>
      <x:c r="J26" s="6"/>
      <x:c r="K26" s="1"/>
      <x:c r="L26" s="1"/>
      <x:c r="M26" s="1"/>
    </x:row>
    <x:row r="27" ht="22" customHeight="1">
      <x:c r="A27" s="1"/>
      <x:c r="B27" s="1"/>
      <x:c r="C27" s="1" t="str">
        <x:v>Provider subscription economics / 2033</x:v>
      </x:c>
      <x:c r="D27" s="6"/>
      <x:c r="E27" s="6"/>
      <x:c r="F27" s="6"/>
      <x:c r="G27" s="6"/>
      <x:c r="H27" s="6"/>
      <x:c r="I27" s="6"/>
      <x:c r="J27" s="6"/>
      <x:c r="K27" s="1"/>
      <x:c r="L27" s="1"/>
      <x:c r="M27" s="1"/>
    </x:row>
    <x:row r="28" ht="22" customHeight="1">
      <x:c r="A28" s="1"/>
      <x:c r="B28" s="1"/>
      <x:c r="C28" s="1" t="str">
        <x:v>Average active providers</x:v>
      </x:c>
      <x:c r="D28" s="49" t="n">
        <x:f>'Operating model'!J20</x:f>
        <x:v>6650.6</x:v>
      </x:c>
      <x:c r="E28" s="6"/>
      <x:c r="F28" s="6"/>
      <x:c r="G28" s="6"/>
      <x:c r="H28" s="6"/>
      <x:c r="I28" s="6"/>
      <x:c r="J28" s="6"/>
      <x:c r="K28" s="1"/>
      <x:c r="L28" s="1"/>
      <x:c r="M28" s="1"/>
    </x:row>
    <x:row r="29" ht="22" customHeight="1">
      <x:c r="A29" s="1"/>
      <x:c r="B29" s="1"/>
      <x:c r="C29" s="1" t="str">
        <x:v>Pro-only subscribers</x:v>
      </x:c>
      <x:c r="D29" s="49" t="n">
        <x:f>'Revenue streams'!J43</x:f>
        <x:v>2660.2400000000002</x:v>
      </x:c>
      <x:c r="E29" s="6"/>
      <x:c r="F29" s="6"/>
      <x:c r="G29" s="6"/>
      <x:c r="H29" s="6"/>
      <x:c r="I29" s="6"/>
      <x:c r="J29" s="6"/>
      <x:c r="K29" s="1"/>
      <x:c r="L29" s="1"/>
      <x:c r="M29" s="1"/>
    </x:row>
    <x:row r="30" ht="22" customHeight="1">
      <x:c r="A30" s="1"/>
      <x:c r="B30" s="1"/>
      <x:c r="C30" s="1" t="str">
        <x:v>Teams subscribers</x:v>
      </x:c>
      <x:c r="D30" s="49" t="n">
        <x:f>'Revenue streams'!J44</x:f>
        <x:v>1330.1200000000001</x:v>
      </x:c>
      <x:c r="E30" s="6"/>
      <x:c r="F30" s="6"/>
      <x:c r="G30" s="6"/>
      <x:c r="H30" s="6"/>
      <x:c r="I30" s="6"/>
      <x:c r="J30" s="6"/>
      <x:c r="K30" s="1"/>
      <x:c r="L30" s="1"/>
      <x:c r="M30" s="1"/>
    </x:row>
    <x:row r="31" ht="22" customHeight="1">
      <x:c r="A31" s="1"/>
      <x:c r="B31" s="1"/>
      <x:c r="C31" s="1" t="str">
        <x:v>Net subscription revenue</x:v>
      </x:c>
      <x:c r="D31" s="50" t="n">
        <x:f>'Operating model'!J87</x:f>
        <x:v>3081515.6064</x:v>
      </x:c>
      <x:c r="E31" s="6"/>
      <x:c r="F31" s="6"/>
      <x:c r="G31" s="6"/>
      <x:c r="H31" s="6"/>
      <x:c r="I31" s="6"/>
      <x:c r="J31" s="6"/>
      <x:c r="K31" s="1"/>
      <x:c r="L31" s="1"/>
      <x:c r="M31" s="1"/>
    </x:row>
    <x:row r="32" ht="22" customHeight="1">
      <x:c r="A32" s="1"/>
      <x:c r="B32" s="1"/>
      <x:c r="C32" s="1" t="str">
        <x:v>Subscription cost of revenue</x:v>
      </x:c>
      <x:c r="D32" s="50" t="n">
        <x:f>'Operating model'!J89</x:f>
        <x:v>542561.2684800001</x:v>
      </x:c>
      <x:c r="E32" s="6"/>
      <x:c r="F32" s="6"/>
      <x:c r="G32" s="6"/>
      <x:c r="H32" s="6"/>
      <x:c r="I32" s="6"/>
      <x:c r="J32" s="6"/>
      <x:c r="K32" s="1"/>
      <x:c r="L32" s="1"/>
      <x:c r="M32" s="1"/>
    </x:row>
    <x:row r="33" ht="22" customHeight="1">
      <x:c r="A33" s="1"/>
      <x:c r="B33" s="1"/>
      <x:c r="C33" s="1" t="str">
        <x:v>Subscription operating expense</x:v>
      </x:c>
      <x:c r="D33" s="50" t="n">
        <x:f>'Operating model'!J90</x:f>
        <x:v>149299.19999999995</x:v>
      </x:c>
      <x:c r="E33" s="6"/>
      <x:c r="F33" s="6"/>
      <x:c r="G33" s="6"/>
      <x:c r="H33" s="6"/>
      <x:c r="I33" s="6"/>
      <x:c r="J33" s="6"/>
      <x:c r="K33" s="1"/>
      <x:c r="L33" s="1"/>
      <x:c r="M33" s="1"/>
    </x:row>
    <x:row r="34" ht="22" customHeight="1">
      <x:c r="A34" s="1"/>
      <x:c r="B34" s="1"/>
      <x:c r="C34" s="4" t="str">
        <x:v>Subscription EBITDA contribution</x:v>
      </x:c>
      <x:c r="D34" s="24" t="n">
        <x:f>D31-D32-D33</x:f>
        <x:v>2389655.1379199997</x:v>
      </x:c>
      <x:c r="E34" s="25"/>
      <x:c r="F34" s="25"/>
      <x:c r="G34" s="6"/>
      <x:c r="H34" s="6"/>
      <x:c r="I34" s="6"/>
      <x:c r="J34" s="6"/>
      <x:c r="K34" s="1"/>
      <x:c r="L34" s="1"/>
      <x:c r="M34" s="1"/>
    </x:row>
    <x:row r="35" ht="22" customHeight="1">
      <x:c r="A35" s="1"/>
      <x:c r="B35" s="1"/>
      <x:c r="C35" s="1"/>
      <x:c r="D35" s="6"/>
      <x:c r="E35" s="6"/>
      <x:c r="F35" s="6"/>
      <x:c r="G35" s="6"/>
      <x:c r="H35" s="6"/>
      <x:c r="I35" s="6"/>
      <x:c r="J35" s="6"/>
      <x:c r="K35" s="1"/>
      <x:c r="L35" s="1"/>
      <x:c r="M35" s="1"/>
    </x:row>
    <x:row r="36" ht="22" customHeight="1">
      <x:c r="A36" s="1"/>
      <x:c r="B36" s="1"/>
      <x:c r="C36" s="1" t="str">
        <x:v>National scaling signals / 2033</x:v>
      </x:c>
      <x:c r="D36" s="6"/>
      <x:c r="E36" s="6"/>
      <x:c r="F36" s="6"/>
      <x:c r="G36" s="6"/>
      <x:c r="H36" s="6"/>
      <x:c r="I36" s="6"/>
      <x:c r="J36" s="6"/>
      <x:c r="K36" s="1"/>
      <x:c r="L36" s="1"/>
      <x:c r="M36" s="1"/>
    </x:row>
    <x:row r="37" ht="22" customHeight="1">
      <x:c r="A37" s="1"/>
      <x:c r="B37" s="1"/>
      <x:c r="C37" s="1" t="str">
        <x:v>Active service areas</x:v>
      </x:c>
      <x:c r="D37" s="49" t="n">
        <x:f>'National rollout'!J10</x:f>
        <x:v>750</x:v>
      </x:c>
      <x:c r="E37" s="6"/>
      <x:c r="F37" s="6"/>
      <x:c r="G37" s="6"/>
      <x:c r="H37" s="6"/>
      <x:c r="I37" s="6"/>
      <x:c r="J37" s="6"/>
      <x:c r="K37" s="1"/>
      <x:c r="L37" s="1"/>
      <x:c r="M37" s="1"/>
    </x:row>
    <x:row r="38" ht="22" customHeight="1">
      <x:c r="A38" s="1"/>
      <x:c r="B38" s="1"/>
      <x:c r="C38" s="1" t="str">
        <x:v>Active states</x:v>
      </x:c>
      <x:c r="D38" s="49" t="n">
        <x:f>'National rollout'!J15</x:f>
        <x:v>40</x:v>
      </x:c>
      <x:c r="E38" s="6"/>
      <x:c r="F38" s="6"/>
      <x:c r="G38" s="6"/>
      <x:c r="H38" s="6"/>
      <x:c r="I38" s="6"/>
      <x:c r="J38" s="6"/>
      <x:c r="K38" s="1"/>
      <x:c r="L38" s="1"/>
      <x:c r="M38" s="1"/>
    </x:row>
    <x:row r="39" ht="22" customHeight="1">
      <x:c r="A39" s="1"/>
      <x:c r="B39" s="1"/>
      <x:c r="C39" s="1" t="str">
        <x:v>Metro clusters</x:v>
      </x:c>
      <x:c r="D39" s="49" t="n">
        <x:f>'National rollout'!J20</x:f>
        <x:v>50</x:v>
      </x:c>
      <x:c r="E39" s="6"/>
      <x:c r="F39" s="6"/>
      <x:c r="G39" s="6"/>
      <x:c r="H39" s="6"/>
      <x:c r="I39" s="6"/>
      <x:c r="J39" s="6"/>
      <x:c r="K39" s="1"/>
      <x:c r="L39" s="1"/>
      <x:c r="M39" s="1"/>
    </x:row>
    <x:row r="40" ht="22" customHeight="1">
      <x:c r="A40" s="1"/>
      <x:c r="B40" s="1"/>
      <x:c r="C40" s="1" t="str">
        <x:v>Ending active households</x:v>
      </x:c>
      <x:c r="D40" s="49" t="n">
        <x:f>'Operating model'!J10</x:f>
        <x:v>380000</x:v>
      </x:c>
      <x:c r="E40" s="6"/>
      <x:c r="F40" s="6"/>
      <x:c r="G40" s="6"/>
      <x:c r="H40" s="6"/>
      <x:c r="I40" s="6"/>
      <x:c r="J40" s="6"/>
      <x:c r="K40" s="1"/>
      <x:c r="L40" s="1"/>
      <x:c r="M40" s="1"/>
    </x:row>
    <x:row r="41" ht="22" customHeight="1">
      <x:c r="A41" s="1"/>
      <x:c r="B41" s="1"/>
      <x:c r="C41" s="1" t="str">
        <x:v>Ending active providers</x:v>
      </x:c>
      <x:c r="D41" s="49" t="n">
        <x:f>'Operating model'!J18</x:f>
        <x:v>9500</x:v>
      </x:c>
      <x:c r="E41" s="6"/>
      <x:c r="F41" s="6"/>
      <x:c r="G41" s="6"/>
      <x:c r="H41" s="6"/>
      <x:c r="I41" s="6"/>
      <x:c r="J41" s="6"/>
      <x:c r="K41" s="1"/>
      <x:c r="L41" s="1"/>
      <x:c r="M41" s="1"/>
    </x:row>
    <x:row r="42" ht="22" customHeight="1">
      <x:c r="A42" s="1"/>
      <x:c r="B42" s="1"/>
      <x:c r="C42" s="1" t="str">
        <x:v>Gross booking value paid to providers</x:v>
      </x:c>
      <x:c r="D42" s="50" t="n">
        <x:f>'Operating model'!J14</x:f>
        <x:v>653774421.4619751</x:v>
      </x:c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22" customHeight="1">
      <x:c r="A43" s="1"/>
      <x:c r="B43" s="1"/>
      <x:c r="C43" s="4" t="str">
        <x:v>YardMatch revenue</x:v>
      </x:c>
      <x:c r="D43" s="54" t="n">
        <x:f>'Operating model'!J26</x:f>
        <x:v>24180450.106399998</x:v>
      </x:c>
      <x:c r="E43" s="25"/>
      <x:c r="F43" s="25"/>
      <x:c r="G43" s="6"/>
      <x:c r="H43" s="6"/>
      <x:c r="I43" s="6"/>
      <x:c r="J43" s="6"/>
      <x:c r="K43" s="1"/>
      <x:c r="L43" s="1"/>
      <x:c r="M43" s="1"/>
    </x:row>
    <x:row r="44" ht="22" customHeight="1">
      <x:c r="A44" s="1"/>
      <x:c r="B44" s="1"/>
      <x:c r="C44" s="4" t="str">
        <x:v>Revenue / gross booking value</x:v>
      </x:c>
      <x:c r="D44" s="79" t="n">
        <x:f>'Operating model'!J70</x:f>
        <x:v>0.036985922533230194</x:v>
      </x:c>
      <x:c r="E44" s="25"/>
      <x:c r="F44" s="25"/>
      <x:c r="G44" s="6"/>
      <x:c r="H44" s="6"/>
      <x:c r="I44" s="6"/>
      <x:c r="J44" s="6"/>
      <x:c r="K44" s="1"/>
      <x:c r="L44" s="1"/>
      <x:c r="M44" s="1"/>
    </x:row>
    <x:row r="45" ht="22" customHeight="1">
      <x:c r="A45" s="1"/>
      <x:c r="B45" s="1"/>
      <x:c r="C45" s="1"/>
      <x:c r="D45" s="6"/>
      <x:c r="E45" s="6"/>
      <x:c r="F45" s="6"/>
      <x:c r="G45" s="6"/>
      <x:c r="H45" s="6"/>
      <x:c r="I45" s="6"/>
      <x:c r="J45" s="6"/>
      <x:c r="K45" s="1"/>
      <x:c r="L45" s="1"/>
      <x:c r="M45" s="1"/>
    </x:row>
    <x:row r="46" ht="22" customHeight="1">
      <x:c r="A46" s="1"/>
      <x:c r="B46" s="1"/>
      <x:c r="C46" s="1"/>
      <x:c r="D46" s="6"/>
      <x:c r="E46" s="6"/>
      <x:c r="F46" s="6"/>
      <x:c r="G46" s="6"/>
      <x:c r="H46" s="6"/>
      <x:c r="I46" s="6"/>
      <x:c r="J46" s="6"/>
      <x:c r="K46" s="1"/>
      <x:c r="L46" s="1"/>
      <x:c r="M46" s="1"/>
    </x:row>
    <x:row r="47" ht="22" customHeight="1">
      <x:c r="A47" s="1"/>
      <x:c r="B47" s="1"/>
      <x:c r="C47" s="32" t="str">
        <x:v>Customers pay providers directly. YardMatch records the booking and completion but does not touch homeowner service funds or issue provider payouts. The $0 repeat fee protects provider margin; support and infrastructure therefore create a small negative repeat-job contribution.</x:v>
      </x:c>
      <x:c r="D47" s="33"/>
      <x:c r="E47" s="33"/>
      <x:c r="F47" s="33"/>
      <x:c r="G47" s="33"/>
      <x:c r="H47" s="33"/>
      <x:c r="I47" s="33"/>
      <x:c r="J47" s="33"/>
      <x:c r="K47" s="1"/>
      <x:c r="L47" s="1"/>
      <x:c r="M47" s="1"/>
    </x:row>
    <x:row r="48" ht="22" customHeight="1">
      <x:c r="A48" s="1"/>
      <x:c r="B48" s="1"/>
      <x:c r="C48" s="32"/>
      <x:c r="D48" s="33"/>
      <x:c r="E48" s="33"/>
      <x:c r="F48" s="33"/>
      <x:c r="G48" s="33"/>
      <x:c r="H48" s="33"/>
      <x:c r="I48" s="33"/>
      <x:c r="J48" s="33"/>
      <x:c r="K48" s="1"/>
      <x:c r="L48" s="1"/>
      <x:c r="M48" s="1"/>
    </x:row>
    <x:row r="49" ht="22" customHeight="1">
      <x:c r="A49" s="1"/>
      <x:c r="B49" s="1"/>
      <x:c r="C49" s="1"/>
      <x:c r="D49" s="6"/>
      <x:c r="E49" s="6"/>
      <x:c r="F49" s="6"/>
      <x:c r="G49" s="6"/>
      <x:c r="H49" s="6"/>
      <x:c r="I49" s="6"/>
      <x:c r="J49" s="6"/>
      <x:c r="K49" s="1"/>
      <x:c r="L49" s="1"/>
      <x:c r="M49" s="1"/>
    </x:row>
    <x:row r="50" ht="22" customHeight="1">
      <x:c r="A50" s="1"/>
      <x:c r="B50" s="1"/>
      <x:c r="C50" s="32" t="str">
        <x:v>Finder fees are charged once per new customer/provider relationship after the first completed paid job. Pro and Teams subscriptions monetize provider workflow, including crew recruiting, without charging crew members.</x:v>
      </x:c>
      <x:c r="D50" s="33"/>
      <x:c r="E50" s="33"/>
      <x:c r="F50" s="33"/>
      <x:c r="G50" s="33"/>
      <x:c r="H50" s="33"/>
      <x:c r="I50" s="33"/>
      <x:c r="J50" s="33"/>
      <x:c r="K50" s="1"/>
      <x:c r="L50" s="1"/>
      <x:c r="M50" s="1"/>
    </x:row>
    <x:row r="51" ht="22" customHeight="1">
      <x:c r="A51" s="1"/>
      <x:c r="B51" s="1"/>
      <x:c r="C51" s="32"/>
      <x:c r="D51" s="33"/>
      <x:c r="E51" s="33"/>
      <x:c r="F51" s="33"/>
      <x:c r="G51" s="33"/>
      <x:c r="H51" s="33"/>
      <x:c r="I51" s="33"/>
      <x:c r="J51" s="33"/>
      <x:c r="K51" s="1"/>
      <x:c r="L51" s="1"/>
      <x:c r="M51" s="1"/>
    </x:row>
    <x:row r="52" ht="22" customHeight="1">
      <x:c r="A52" s="1"/>
      <x:c r="B52" s="1"/>
      <x:c r="C52" s="1"/>
      <x:c r="D52" s="6"/>
      <x:c r="E52" s="6"/>
      <x:c r="F52" s="6"/>
      <x:c r="G52" s="6"/>
      <x:c r="H52" s="6"/>
      <x:c r="I52" s="6"/>
      <x:c r="J52" s="6"/>
      <x:c r="K52" s="1"/>
      <x:c r="L52" s="1"/>
      <x:c r="M52" s="1"/>
    </x:row>
    <x:row r="53" ht="22" customHeight="1">
      <x:c r="A53" s="1"/>
      <x:c r="B53" s="1"/>
      <x:c r="C53" s="32" t="str">
        <x:v>Five-year contribution is an undiscounted planning calculation using 2031 retention and booking assumptions. It is not observed lifetime value. National outputs depend on the service-area cohort ramp and launch gates.</x:v>
      </x:c>
      <x:c r="D53" s="33"/>
      <x:c r="E53" s="33"/>
      <x:c r="F53" s="33"/>
      <x:c r="G53" s="33"/>
      <x:c r="H53" s="33"/>
      <x:c r="I53" s="33"/>
      <x:c r="J53" s="33"/>
      <x:c r="K53" s="1"/>
      <x:c r="L53" s="1"/>
      <x:c r="M53" s="1"/>
    </x:row>
    <x:row r="54" ht="22" customHeight="1">
      <x:c r="A54" s="1"/>
      <x:c r="B54" s="1"/>
      <x:c r="C54" s="32"/>
      <x:c r="D54" s="33"/>
      <x:c r="E54" s="33"/>
      <x:c r="F54" s="33"/>
      <x:c r="G54" s="33"/>
      <x:c r="H54" s="33"/>
      <x:c r="I54" s="33"/>
      <x:c r="J54" s="33"/>
      <x:c r="K54" s="1"/>
      <x:c r="L54" s="1"/>
      <x:c r="M54" s="1"/>
    </x:row>
    <x:row r="55" ht="22" customHeight="1">
      <x:c r="A55" s="1"/>
      <x:c r="B55" s="1"/>
      <x:c r="C55" s="1"/>
      <x:c r="D55" s="6"/>
      <x:c r="E55" s="6"/>
      <x:c r="F55" s="6"/>
      <x:c r="G55" s="6"/>
      <x:c r="H55" s="6"/>
      <x:c r="I55" s="6"/>
      <x:c r="J55" s="6"/>
      <x:c r="K55" s="1"/>
      <x:c r="L55" s="1"/>
      <x:c r="M55" s="1"/>
    </x:row>
    <x:row r="56" ht="22" customHeight="1">
      <x:c r="A56" s="1"/>
      <x:c r="B56" s="1"/>
      <x:c r="C56" s="1"/>
      <x:c r="D56" s="6"/>
      <x:c r="E56" s="6"/>
      <x:c r="F56" s="6"/>
      <x:c r="G56" s="6"/>
      <x:c r="H56" s="6"/>
      <x:c r="I56" s="6"/>
      <x:c r="J56" s="6"/>
      <x:c r="K56" s="1"/>
      <x:c r="L56" s="1"/>
      <x:c r="M56" s="1"/>
    </x:row>
    <x:row r="57" ht="22" customHeight="1">
      <x:c r="A57" s="1"/>
      <x:c r="B57" s="1"/>
      <x:c r="C57" s="1"/>
      <x:c r="D57" s="6"/>
      <x:c r="E57" s="6"/>
      <x:c r="F57" s="6"/>
      <x:c r="G57" s="6"/>
      <x:c r="H57" s="6"/>
      <x:c r="I57" s="6"/>
      <x:c r="J57" s="6"/>
      <x:c r="K57" s="1"/>
      <x:c r="L57" s="1"/>
      <x:c r="M57" s="1"/>
    </x:row>
    <x:row r="58" ht="22" customHeight="1">
      <x:c r="A58" s="1"/>
      <x:c r="B58" s="1"/>
      <x:c r="C58" s="1"/>
      <x:c r="D58" s="6"/>
      <x:c r="E58" s="6"/>
      <x:c r="F58" s="6"/>
      <x:c r="G58" s="6"/>
      <x:c r="H58" s="6"/>
      <x:c r="I58" s="6"/>
      <x:c r="J58" s="6"/>
      <x:c r="K58" s="1"/>
      <x:c r="L58" s="1"/>
      <x:c r="M58" s="1"/>
    </x:row>
  </x:sheetData>
  <x:mergeCells>
    <x:mergeCell ref="C47:J48"/>
    <x:mergeCell ref="C50:J51"/>
    <x:mergeCell ref="C53:J5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Service prices and job mix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Active case</x:v>
      </x:c>
      <x:c r="D3" s="59" t="str">
        <x:f>'Assumptions'!D3</x:f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"/>
      <x:c r="M5" s="1"/>
    </x:row>
    <x:row r="6" ht="22" customHeight="1">
      <x:c r="A6" s="1"/>
      <x:c r="B6" s="1"/>
      <x:c r="C6" s="5" t="str">
        <x:v>Service price at standard location / property</x:v>
      </x:c>
      <x:c r="D6" s="26"/>
      <x:c r="E6" s="26"/>
      <x:c r="F6" s="26"/>
      <x:c r="G6" s="26"/>
      <x:c r="H6" s="26"/>
      <x:c r="I6" s="26"/>
      <x:c r="J6" s="26"/>
      <x:c r="K6" s="1"/>
      <x:c r="L6" s="1"/>
      <x:c r="M6" s="1"/>
    </x:row>
    <x:row r="7" ht="22" customHeight="1">
      <x:c r="A7" s="1"/>
      <x:c r="B7" s="1"/>
      <x:c r="C7" s="1" t="str">
        <x:v>Basic mowing</x:v>
      </x:c>
      <x:c r="D7" s="27" t="n">
        <x:v>60</x:v>
      </x:c>
      <x:c r="E7" s="34" t="n">
        <x:f>D7*(1+E$13)</x:f>
        <x:v>61.800000000000004</x:v>
      </x:c>
      <x:c r="F7" s="34" t="n">
        <x:f>E7*(1+F$13)</x:f>
        <x:v>63.654</x:v>
      </x:c>
      <x:c r="G7" s="34" t="n">
        <x:f>F7*(1+G$13)</x:f>
        <x:v>65.56362</x:v>
      </x:c>
      <x:c r="H7" s="34" t="n">
        <x:f>G7*(1+H$13)</x:f>
        <x:v>67.5305286</x:v>
      </x:c>
      <x:c r="I7" s="34" t="n">
        <x:f>H7*(1+I$13)</x:f>
        <x:v>69.556444458</x:v>
      </x:c>
      <x:c r="J7" s="34" t="n">
        <x:f>I7*(1+J$13)</x:f>
        <x:v>71.64313779174</x:v>
      </x:c>
      <x:c r="K7" s="1"/>
      <x:c r="L7" s="1"/>
      <x:c r="M7" s="1"/>
    </x:row>
    <x:row r="8" ht="22" customHeight="1">
      <x:c r="A8" s="1"/>
      <x:c r="B8" s="1"/>
      <x:c r="C8" s="1" t="str">
        <x:v>Mowing + edging / trimming</x:v>
      </x:c>
      <x:c r="D8" s="27" t="n">
        <x:v>85</x:v>
      </x:c>
      <x:c r="E8" s="34" t="n">
        <x:f>D8*(1+E$13)</x:f>
        <x:v>87.55</x:v>
      </x:c>
      <x:c r="F8" s="34" t="n">
        <x:f>E8*(1+F$13)</x:f>
        <x:v>90.1765</x:v>
      </x:c>
      <x:c r="G8" s="34" t="n">
        <x:f>F8*(1+G$13)</x:f>
        <x:v>92.88179500000001</x:v>
      </x:c>
      <x:c r="H8" s="34" t="n">
        <x:f>G8*(1+H$13)</x:f>
        <x:v>95.66824885000001</x:v>
      </x:c>
      <x:c r="I8" s="34" t="n">
        <x:f>H8*(1+I$13)</x:f>
        <x:v>98.53829631550002</x:v>
      </x:c>
      <x:c r="J8" s="34" t="n">
        <x:f>I8*(1+J$13)</x:f>
        <x:v>101.49444520496502</x:v>
      </x:c>
      <x:c r="K8" s="1"/>
      <x:c r="L8" s="1"/>
      <x:c r="M8" s="1"/>
    </x:row>
    <x:row r="9" ht="22" customHeight="1">
      <x:c r="A9" s="1"/>
      <x:c r="B9" s="1"/>
      <x:c r="C9" s="1" t="str">
        <x:v>Expanded maintenance bundle</x:v>
      </x:c>
      <x:c r="D9" s="27" t="n">
        <x:v>120</x:v>
      </x:c>
      <x:c r="E9" s="34" t="n">
        <x:f>D9*(1+E$13)</x:f>
        <x:v>123.60000000000001</x:v>
      </x:c>
      <x:c r="F9" s="34" t="n">
        <x:f>E9*(1+F$13)</x:f>
        <x:v>127.308</x:v>
      </x:c>
      <x:c r="G9" s="34" t="n">
        <x:f>F9*(1+G$13)</x:f>
        <x:v>131.12724</x:v>
      </x:c>
      <x:c r="H9" s="34" t="n">
        <x:f>G9*(1+H$13)</x:f>
        <x:v>135.0610572</x:v>
      </x:c>
      <x:c r="I9" s="34" t="n">
        <x:f>H9*(1+I$13)</x:f>
        <x:v>139.112888916</x:v>
      </x:c>
      <x:c r="J9" s="34" t="n">
        <x:f>I9*(1+J$13)</x:f>
        <x:v>143.28627558348</x:v>
      </x:c>
      <x:c r="K9" s="1"/>
      <x:c r="L9" s="1"/>
      <x:c r="M9" s="1"/>
    </x:row>
    <x:row r="10" ht="22" customHeight="1">
      <x:c r="A10" s="1"/>
      <x:c r="B10" s="1"/>
      <x:c r="C10" s="1" t="str">
        <x:v>Mulch / seasonal cleanup</x:v>
      </x:c>
      <x:c r="D10" s="27" t="n">
        <x:v>300</x:v>
      </x:c>
      <x:c r="E10" s="34" t="n">
        <x:f>D10*(1+E$13)</x:f>
        <x:v>309</x:v>
      </x:c>
      <x:c r="F10" s="34" t="n">
        <x:f>E10*(1+F$13)</x:f>
        <x:v>318.27</x:v>
      </x:c>
      <x:c r="G10" s="34" t="n">
        <x:f>F10*(1+G$13)</x:f>
        <x:v>327.8181</x:v>
      </x:c>
      <x:c r="H10" s="34" t="n">
        <x:f>G10*(1+H$13)</x:f>
        <x:v>337.652643</x:v>
      </x:c>
      <x:c r="I10" s="34" t="n">
        <x:f>H10*(1+I$13)</x:f>
        <x:v>347.78222229</x:v>
      </x:c>
      <x:c r="J10" s="34" t="n">
        <x:f>I10*(1+J$13)</x:f>
        <x:v>358.2156889587</x:v>
      </x:c>
      <x:c r="K10" s="1"/>
      <x:c r="L10" s="1"/>
      <x:c r="M10" s="1"/>
    </x:row>
    <x:row r="11" ht="22" customHeight="1">
      <x:c r="A11" s="1"/>
      <x:c r="B11" s="1"/>
      <x:c r="C11" s="1" t="str">
        <x:v>Tree / larger property project</x:v>
      </x:c>
      <x:c r="D11" s="27" t="n">
        <x:v>1000</x:v>
      </x:c>
      <x:c r="E11" s="34" t="n">
        <x:f>D11*(1+E$13)</x:f>
        <x:v>1030</x:v>
      </x:c>
      <x:c r="F11" s="34" t="n">
        <x:f>E11*(1+F$13)</x:f>
        <x:v>1060.9</x:v>
      </x:c>
      <x:c r="G11" s="34" t="n">
        <x:f>F11*(1+G$13)</x:f>
        <x:v>1092.727</x:v>
      </x:c>
      <x:c r="H11" s="34" t="n">
        <x:f>G11*(1+H$13)</x:f>
        <x:v>1125.50881</x:v>
      </x:c>
      <x:c r="I11" s="34" t="n">
        <x:f>H11*(1+I$13)</x:f>
        <x:v>1159.2740743000002</x:v>
      </x:c>
      <x:c r="J11" s="34" t="n">
        <x:f>I11*(1+J$13)</x:f>
        <x:v>1194.0522965290002</x:v>
      </x:c>
      <x:c r="K11" s="1"/>
      <x:c r="L11" s="1"/>
      <x:c r="M11" s="1"/>
    </x:row>
    <x:row r="12" ht="22" customHeight="1">
      <x:c r="A12" s="1"/>
      <x:c r="B12" s="1"/>
      <x:c r="C12" s="1"/>
      <x:c r="D12" s="6"/>
      <x:c r="E12" s="6"/>
      <x:c r="F12" s="6"/>
      <x:c r="G12" s="6"/>
      <x:c r="H12" s="6"/>
      <x:c r="I12" s="6"/>
      <x:c r="J12" s="6"/>
      <x:c r="K12" s="1"/>
      <x:c r="L12" s="1"/>
      <x:c r="M12" s="1"/>
    </x:row>
    <x:row r="13" ht="22" customHeight="1">
      <x:c r="A13" s="1"/>
      <x:c r="B13" s="1"/>
      <x:c r="C13" s="1" t="str">
        <x:v>Annual service-price escalation</x:v>
      </x:c>
      <x:c r="D13" s="17" t="n">
        <x:v>0</x:v>
      </x:c>
      <x:c r="E13" s="17" t="n">
        <x:v>0.03</x:v>
      </x:c>
      <x:c r="F13" s="17" t="n">
        <x:v>0.03</x:v>
      </x:c>
      <x:c r="G13" s="17" t="n">
        <x:v>0.03</x:v>
      </x:c>
      <x:c r="H13" s="17" t="n">
        <x:v>0.03</x:v>
      </x:c>
      <x:c r="I13" s="17" t="n">
        <x:v>0.03</x:v>
      </x:c>
      <x:c r="J13" s="17" t="n">
        <x:v>0.03</x:v>
      </x:c>
      <x:c r="K13" s="1"/>
      <x:c r="L13" s="1"/>
      <x:c r="M13" s="1"/>
    </x:row>
    <x:row r="14" ht="22" customHeight="1">
      <x:c r="A14" s="1"/>
      <x:c r="B14" s="1"/>
      <x:c r="C14" s="1"/>
      <x:c r="D14" s="6"/>
      <x:c r="E14" s="6"/>
      <x:c r="F14" s="6"/>
      <x:c r="G14" s="6"/>
      <x:c r="H14" s="6"/>
      <x:c r="I14" s="6"/>
      <x:c r="J14" s="6"/>
      <x:c r="K14" s="1"/>
      <x:c r="L14" s="1"/>
      <x:c r="M14" s="1"/>
    </x:row>
    <x:row r="15" ht="22" customHeight="1">
      <x:c r="A15" s="1"/>
      <x:c r="B15" s="1"/>
      <x:c r="C15" s="5" t="str">
        <x:v>Share of scheduled maintenance visits</x:v>
      </x:c>
      <x:c r="D15" s="26"/>
      <x:c r="E15" s="26"/>
      <x:c r="F15" s="26"/>
      <x:c r="G15" s="26"/>
      <x:c r="H15" s="26"/>
      <x:c r="I15" s="26"/>
      <x:c r="J15" s="26"/>
      <x:c r="K15" s="1"/>
      <x:c r="L15" s="1"/>
      <x:c r="M15" s="1"/>
    </x:row>
    <x:row r="16" ht="22" customHeight="1">
      <x:c r="A16" s="1"/>
      <x:c r="B16" s="1"/>
      <x:c r="C16" s="1" t="str">
        <x:v>Basic mowing</x:v>
      </x:c>
      <x:c r="D16" s="17" t="n">
        <x:v>0.6</x:v>
      </x:c>
      <x:c r="E16" s="17" t="n">
        <x:v>0.575</x:v>
      </x:c>
      <x:c r="F16" s="17" t="n">
        <x:v>0.55</x:v>
      </x:c>
      <x:c r="G16" s="17" t="n">
        <x:v>0.525</x:v>
      </x:c>
      <x:c r="H16" s="17" t="n">
        <x:v>0.5</x:v>
      </x:c>
      <x:c r="I16" s="17" t="n">
        <x:v>0.475</x:v>
      </x:c>
      <x:c r="J16" s="17" t="n">
        <x:v>0.45</x:v>
      </x:c>
      <x:c r="K16" s="1"/>
      <x:c r="L16" s="1"/>
      <x:c r="M16" s="1"/>
    </x:row>
    <x:row r="17" ht="22" customHeight="1">
      <x:c r="A17" s="1"/>
      <x:c r="B17" s="1"/>
      <x:c r="C17" s="1" t="str">
        <x:v>Mowing + edging / trimming</x:v>
      </x:c>
      <x:c r="D17" s="17" t="n">
        <x:v>0.3</x:v>
      </x:c>
      <x:c r="E17" s="17" t="n">
        <x:v>0.317</x:v>
      </x:c>
      <x:c r="F17" s="17" t="n">
        <x:v>0.334</x:v>
      </x:c>
      <x:c r="G17" s="17" t="n">
        <x:v>0.35</x:v>
      </x:c>
      <x:c r="H17" s="17" t="n">
        <x:v>0.367</x:v>
      </x:c>
      <x:c r="I17" s="17" t="n">
        <x:v>0.384</x:v>
      </x:c>
      <x:c r="J17" s="17" t="n">
        <x:v>0.4</x:v>
      </x:c>
      <x:c r="K17" s="1"/>
      <x:c r="L17" s="1"/>
      <x:c r="M17" s="1"/>
    </x:row>
    <x:row r="18" ht="22" customHeight="1">
      <x:c r="A18" s="1"/>
      <x:c r="B18" s="1"/>
      <x:c r="C18" s="1" t="str">
        <x:v>Expanded maintenance / remainder</x:v>
      </x:c>
      <x:c r="D18" s="16" t="n">
        <x:f>1-SUM(D16:D17)</x:f>
        <x:v>0.10000000000000009</x:v>
      </x:c>
      <x:c r="E18" s="16" t="n">
        <x:f>1-SUM(E16:E17)</x:f>
        <x:v>0.1080000000000001</x:v>
      </x:c>
      <x:c r="F18" s="16" t="n">
        <x:f>1-SUM(F16:F17)</x:f>
        <x:v>0.11599999999999988</x:v>
      </x:c>
      <x:c r="G18" s="16" t="n">
        <x:f>1-SUM(G16:G17)</x:f>
        <x:v>0.125</x:v>
      </x:c>
      <x:c r="H18" s="16" t="n">
        <x:f>1-SUM(H16:H17)</x:f>
        <x:v>0.133</x:v>
      </x:c>
      <x:c r="I18" s="16" t="n">
        <x:f>1-SUM(I16:I17)</x:f>
        <x:v>0.14100000000000001</x:v>
      </x:c>
      <x:c r="J18" s="16" t="n">
        <x:f>1-SUM(J16:J17)</x:f>
        <x:v>0.1499999999999999</x:v>
      </x:c>
      <x:c r="K18" s="1"/>
      <x:c r="L18" s="1"/>
      <x:c r="M18" s="1"/>
    </x:row>
    <x:row r="19" ht="22" customHeight="1">
      <x:c r="A19" s="1"/>
      <x:c r="B19" s="1"/>
      <x:c r="C19" s="1"/>
      <x:c r="D19" s="6"/>
      <x:c r="E19" s="6"/>
      <x:c r="F19" s="6"/>
      <x:c r="G19" s="6"/>
      <x:c r="H19" s="6"/>
      <x:c r="I19" s="6"/>
      <x:c r="J19" s="6"/>
      <x:c r="K19" s="1"/>
      <x:c r="L19" s="1"/>
      <x:c r="M19" s="1"/>
    </x:row>
    <x:row r="20" ht="22" customHeight="1">
      <x:c r="A20" s="1"/>
      <x:c r="B20" s="1"/>
      <x:c r="C20" s="1"/>
      <x:c r="D20" s="6"/>
      <x:c r="E20" s="6"/>
      <x:c r="F20" s="6"/>
      <x:c r="G20" s="6"/>
      <x:c r="H20" s="6"/>
      <x:c r="I20" s="6"/>
      <x:c r="J20" s="6"/>
      <x:c r="K20" s="1"/>
      <x:c r="L20" s="1"/>
      <x:c r="M20" s="1"/>
    </x:row>
    <x:row r="21" ht="22" customHeight="1">
      <x:c r="A21" s="1"/>
      <x:c r="B21" s="1"/>
      <x:c r="C21" s="5" t="str">
        <x:v>Additional scheduled jobs / full-season household</x:v>
      </x:c>
      <x:c r="D21" s="26"/>
      <x:c r="E21" s="26"/>
      <x:c r="F21" s="26"/>
      <x:c r="G21" s="26"/>
      <x:c r="H21" s="26"/>
      <x:c r="I21" s="26"/>
      <x:c r="J21" s="26"/>
      <x:c r="K21" s="1"/>
      <x:c r="L21" s="1"/>
      <x:c r="M21" s="1"/>
    </x:row>
    <x:row r="22" ht="22" customHeight="1">
      <x:c r="A22" s="1"/>
      <x:c r="B22" s="1"/>
      <x:c r="C22" s="1" t="str">
        <x:v>Mulch / seasonal cleanup</x:v>
      </x:c>
      <x:c r="D22" s="28" t="n">
        <x:v>0.6</x:v>
      </x:c>
      <x:c r="E22" s="28" t="n">
        <x:v>0.67</x:v>
      </x:c>
      <x:c r="F22" s="28" t="n">
        <x:v>0.73</x:v>
      </x:c>
      <x:c r="G22" s="28" t="n">
        <x:v>0.8</x:v>
      </x:c>
      <x:c r="H22" s="28" t="n">
        <x:v>0.87</x:v>
      </x:c>
      <x:c r="I22" s="28" t="n">
        <x:v>0.93</x:v>
      </x:c>
      <x:c r="J22" s="28" t="n">
        <x:v>1</x:v>
      </x:c>
      <x:c r="K22" s="1"/>
      <x:c r="L22" s="1"/>
      <x:c r="M22" s="1"/>
    </x:row>
    <x:row r="23" ht="22" customHeight="1">
      <x:c r="A23" s="1"/>
      <x:c r="B23" s="1"/>
      <x:c r="C23" s="1" t="str">
        <x:v>Tree / larger property project</x:v>
      </x:c>
      <x:c r="D23" s="64" t="n">
        <x:v>0.03</x:v>
      </x:c>
      <x:c r="E23" s="64" t="n">
        <x:v>0.04</x:v>
      </x:c>
      <x:c r="F23" s="64" t="n">
        <x:v>0.05</x:v>
      </x:c>
      <x:c r="G23" s="64" t="n">
        <x:v>0.06</x:v>
      </x:c>
      <x:c r="H23" s="64" t="n">
        <x:v>0.07</x:v>
      </x:c>
      <x:c r="I23" s="64" t="n">
        <x:v>0.075</x:v>
      </x:c>
      <x:c r="J23" s="64" t="n">
        <x:v>0.08</x:v>
      </x:c>
      <x:c r="K23" s="1"/>
      <x:c r="L23" s="1"/>
      <x:c r="M23" s="1"/>
    </x:row>
    <x:row r="24" ht="22" customHeight="1">
      <x:c r="A24" s="1"/>
      <x:c r="B24" s="1"/>
      <x:c r="C24" s="1"/>
      <x:c r="D24" s="6"/>
      <x:c r="E24" s="6"/>
      <x:c r="F24" s="6"/>
      <x:c r="G24" s="6"/>
      <x:c r="H24" s="6"/>
      <x:c r="I24" s="6"/>
      <x:c r="J24" s="6"/>
      <x:c r="K24" s="1"/>
      <x:c r="L24" s="1"/>
      <x:c r="M24" s="1"/>
    </x:row>
    <x:row r="25" ht="22" customHeight="1">
      <x:c r="A25" s="1"/>
      <x:c r="B25" s="1"/>
      <x:c r="C25" s="5" t="str">
        <x:v>Neighborhood price adjustment</x:v>
      </x:c>
      <x:c r="D25" s="26"/>
      <x:c r="E25" s="26"/>
      <x:c r="F25" s="26"/>
      <x:c r="G25" s="26"/>
      <x:c r="H25" s="26"/>
      <x:c r="I25" s="26"/>
      <x:c r="J25" s="26"/>
      <x:c r="K25" s="1"/>
      <x:c r="L25" s="1"/>
      <x:c r="M25" s="1"/>
    </x:row>
    <x:row r="26" ht="22" customHeight="1">
      <x:c r="A26" s="1"/>
      <x:c r="B26" s="1"/>
      <x:c r="C26" s="1" t="str">
        <x:v>Standard neighborhood / town mix</x:v>
      </x:c>
      <x:c r="D26" s="51" t="n">
        <x:f>SUM('Town forecast'!D40:D42)</x:f>
        <x:v>1</x:v>
      </x:c>
      <x:c r="E26" s="51" t="n">
        <x:f>SUM('Town forecast'!E40:E42)</x:f>
        <x:v>0.755732859709119</x:v>
      </x:c>
      <x:c r="F26" s="51" t="n">
        <x:f>SUM('Town forecast'!F40:F42)</x:f>
        <x:v>0.7668963129615848</x:v>
      </x:c>
      <x:c r="G26" s="51" t="n">
        <x:f>SUM('Town forecast'!G40:G42)</x:f>
        <x:v>0.7535612379253436</x:v>
      </x:c>
      <x:c r="H26" s="51" t="n">
        <x:f>SUM('Town forecast'!H40:H42)</x:f>
        <x:v>0.6909206109291459</x:v>
      </x:c>
      <x:c r="I26" s="51" t="n">
        <x:f>SUM('Town forecast'!I40:I42)</x:f>
        <x:v>0.6159069207344219</x:v>
      </x:c>
      <x:c r="J26" s="51" t="n">
        <x:f>SUM('Town forecast'!J40:J42)</x:f>
        <x:v>0.5569988211289868</x:v>
      </x:c>
      <x:c r="K26" s="1"/>
      <x:c r="L26" s="1"/>
      <x:c r="M26" s="1"/>
    </x:row>
    <x:row r="27" ht="22" customHeight="1">
      <x:c r="A27" s="1"/>
      <x:c r="B27" s="1"/>
      <x:c r="C27" s="1" t="str">
        <x:v>Higher-cost neighborhood / town mix</x:v>
      </x:c>
      <x:c r="D27" s="51" t="n">
        <x:f>SUM('Town forecast'!D43:D45)</x:f>
        <x:v>0</x:v>
      </x:c>
      <x:c r="E27" s="51" t="n">
        <x:f>SUM('Town forecast'!E43:E45)</x:f>
        <x:v>0.24426714029088095</x:v>
      </x:c>
      <x:c r="F27" s="51" t="n">
        <x:f>SUM('Town forecast'!F43:F45)</x:f>
        <x:v>0.23310368703841508</x:v>
      </x:c>
      <x:c r="G27" s="51" t="n">
        <x:f>SUM('Town forecast'!G43:G45)</x:f>
        <x:v>0.2464387620746565</x:v>
      </x:c>
      <x:c r="H27" s="51" t="n">
        <x:f>SUM('Town forecast'!H43:H45)</x:f>
        <x:v>0.3090793890708541</x:v>
      </x:c>
      <x:c r="I27" s="51" t="n">
        <x:f>SUM('Town forecast'!I43:I45)</x:f>
        <x:v>0.37206335327246</x:v>
      </x:c>
      <x:c r="J27" s="51" t="n">
        <x:f>SUM('Town forecast'!J43:J45)</x:f>
        <x:v>0.4082470798321966</x:v>
      </x:c>
      <x:c r="K27" s="1"/>
      <x:c r="L27" s="1"/>
      <x:c r="M27" s="1"/>
    </x:row>
    <x:row r="28" ht="22" customHeight="1">
      <x:c r="A28" s="1"/>
      <x:c r="B28" s="1"/>
      <x:c r="C28" s="1" t="str">
        <x:v>Highest-cost neighborhood / remainder</x:v>
      </x:c>
      <x:c r="D28" s="16" t="n">
        <x:f>1-SUM(D26:D27)</x:f>
        <x:v>0</x:v>
      </x:c>
      <x:c r="E28" s="16" t="n">
        <x:f>1-SUM(E26:E27)</x:f>
        <x:v>1.1102230246251565e-16</x:v>
      </x:c>
      <x:c r="F28" s="16" t="n">
        <x:f>1-SUM(F26:F27)</x:f>
        <x:v>1.1102230246251565e-16</x:v>
      </x:c>
      <x:c r="G28" s="16" t="n">
        <x:f>1-SUM(G26:G27)</x:f>
        <x:v>0</x:v>
      </x:c>
      <x:c r="H28" s="16" t="n">
        <x:f>1-SUM(H26:H27)</x:f>
        <x:v>0</x:v>
      </x:c>
      <x:c r="I28" s="16" t="n">
        <x:f>1-SUM(I26:I27)</x:f>
        <x:v>0.012029725993118134</x:v>
      </x:c>
      <x:c r="J28" s="16" t="n">
        <x:f>1-SUM(J26:J27)</x:f>
        <x:v>0.034754099038816655</x:v>
      </x:c>
      <x:c r="K28" s="1"/>
      <x:c r="L28" s="1"/>
      <x:c r="M28" s="1"/>
    </x:row>
    <x:row r="29" ht="22" customHeight="1">
      <x:c r="A29" s="1"/>
      <x:c r="B29" s="1"/>
      <x:c r="C29" s="1" t="str">
        <x:v>Higher-cost neighborhood multiplier</x:v>
      </x:c>
      <x:c r="D29" s="14" t="n">
        <x:v>1.15</x:v>
      </x:c>
      <x:c r="E29" s="14" t="n">
        <x:v>1.15</x:v>
      </x:c>
      <x:c r="F29" s="14" t="n">
        <x:v>1.15</x:v>
      </x:c>
      <x:c r="G29" s="14" t="n">
        <x:v>1.15</x:v>
      </x:c>
      <x:c r="H29" s="14" t="n">
        <x:v>1.15</x:v>
      </x:c>
      <x:c r="I29" s="14" t="n">
        <x:v>1.15</x:v>
      </x:c>
      <x:c r="J29" s="14" t="n">
        <x:v>1.15</x:v>
      </x:c>
      <x:c r="K29" s="1"/>
      <x:c r="L29" s="1"/>
      <x:c r="M29" s="1"/>
    </x:row>
    <x:row r="30" ht="22" customHeight="1">
      <x:c r="A30" s="1"/>
      <x:c r="B30" s="1"/>
      <x:c r="C30" s="1" t="str">
        <x:v>Highest-cost neighborhood multiplier</x:v>
      </x:c>
      <x:c r="D30" s="14" t="n">
        <x:v>1.3</x:v>
      </x:c>
      <x:c r="E30" s="14" t="n">
        <x:v>1.3</x:v>
      </x:c>
      <x:c r="F30" s="14" t="n">
        <x:v>1.3</x:v>
      </x:c>
      <x:c r="G30" s="14" t="n">
        <x:v>1.3</x:v>
      </x:c>
      <x:c r="H30" s="14" t="n">
        <x:v>1.3</x:v>
      </x:c>
      <x:c r="I30" s="14" t="n">
        <x:v>1.3</x:v>
      </x:c>
      <x:c r="J30" s="14" t="n">
        <x:v>1.3</x:v>
      </x:c>
      <x:c r="K30" s="1"/>
      <x:c r="L30" s="1"/>
      <x:c r="M30" s="1"/>
    </x:row>
    <x:row r="31" ht="22" customHeight="1">
      <x:c r="A31" s="1"/>
      <x:c r="B31" s="1"/>
      <x:c r="C31" s="1" t="str">
        <x:v>Weighted neighborhood multiplier</x:v>
      </x:c>
      <x:c r="D31" s="13" t="n">
        <x:f>D26+D27*D29+D28*D30</x:f>
        <x:v>1</x:v>
      </x:c>
      <x:c r="E31" s="13" t="n">
        <x:f>E26+E27*E29+E28*E30</x:f>
        <x:v>1.0366400710436323</x:v>
      </x:c>
      <x:c r="F31" s="13" t="n">
        <x:f>F26+F27*F29+F28*F30</x:f>
        <x:v>1.0349655530557624</x:v>
      </x:c>
      <x:c r="G31" s="13" t="n">
        <x:f>G26+G27*G29+G28*G30</x:f>
        <x:v>1.0369658143111986</x:v>
      </x:c>
      <x:c r="H31" s="13" t="n">
        <x:f>H26+H27*H29+H28*H30</x:f>
        <x:v>1.0463619083606281</x:v>
      </x:c>
      <x:c r="I31" s="13" t="n">
        <x:f>I26+I27*I29+I28*I30</x:f>
        <x:v>1.0594184207888044</x:v>
      </x:c>
      <x:c r="J31" s="13" t="n">
        <x:f>J26+J27*J29+J28*J30</x:f>
        <x:v>1.0716632916864746</x:v>
      </x:c>
      <x:c r="K31" s="1"/>
      <x:c r="L31" s="1"/>
      <x:c r="M31" s="1"/>
    </x:row>
    <x:row r="32" ht="22" customHeight="1">
      <x:c r="A32" s="1"/>
      <x:c r="B32" s="1"/>
      <x:c r="C32" s="1"/>
      <x:c r="D32" s="6"/>
      <x:c r="E32" s="6"/>
      <x:c r="F32" s="6"/>
      <x:c r="G32" s="6"/>
      <x:c r="H32" s="6"/>
      <x:c r="I32" s="6"/>
      <x:c r="J32" s="6"/>
      <x:c r="K32" s="1"/>
      <x:c r="L32" s="1"/>
      <x:c r="M32" s="1"/>
    </x:row>
    <x:row r="33" ht="22" customHeight="1">
      <x:c r="A33" s="1"/>
      <x:c r="B33" s="1"/>
      <x:c r="C33" s="5" t="str">
        <x:v>Property-size adjustment</x:v>
      </x:c>
      <x:c r="D33" s="26"/>
      <x:c r="E33" s="26"/>
      <x:c r="F33" s="26"/>
      <x:c r="G33" s="26"/>
      <x:c r="H33" s="26"/>
      <x:c r="I33" s="26"/>
      <x:c r="J33" s="26"/>
      <x:c r="K33" s="1"/>
      <x:c r="L33" s="1"/>
      <x:c r="M33" s="1"/>
    </x:row>
    <x:row r="34" ht="22" customHeight="1">
      <x:c r="A34" s="1"/>
      <x:c r="B34" s="1"/>
      <x:c r="C34" s="1" t="str">
        <x:v>Typical property / town mix</x:v>
      </x:c>
      <x:c r="D34" s="51" t="n">
        <x:f>'Town forecast'!D40+'Town forecast'!D43+'Town forecast'!D46</x:f>
        <x:v>0.7</x:v>
      </x:c>
      <x:c r="E34" s="51" t="n">
        <x:f>'Town forecast'!E40+'Town forecast'!E43+'Town forecast'!E46</x:f>
        <x:v>0.6770999555977297</x:v>
      </x:c>
      <x:c r="F34" s="51" t="n">
        <x:f>'Town forecast'!F40+'Town forecast'!F43+'Town forecast'!F46</x:f>
        <x:v>0.6894097285451136</x:v>
      </x:c>
      <x:c r="G34" s="51" t="n">
        <x:f>'Town forecast'!G40+'Town forecast'!G43+'Town forecast'!G46</x:f>
        <x:v>0.6865924349019095</x:v>
      </x:c>
      <x:c r="H34" s="51" t="n">
        <x:f>'Town forecast'!H40+'Town forecast'!H43+'Town forecast'!H46</x:f>
        <x:v>0.6724582248123664</x:v>
      </x:c>
      <x:c r="I34" s="51" t="n">
        <x:f>'Town forecast'!I40+'Town forecast'!I43+'Town forecast'!I46</x:f>
        <x:v>0.6546927890304225</x:v>
      </x:c>
      <x:c r="J34" s="51" t="n">
        <x:f>'Town forecast'!J40+'Town forecast'!J43+'Town forecast'!J46</x:f>
        <x:v>0.6375334486646432</x:v>
      </x:c>
      <x:c r="K34" s="1"/>
      <x:c r="L34" s="1"/>
      <x:c r="M34" s="1"/>
    </x:row>
    <x:row r="35" ht="22" customHeight="1">
      <x:c r="A35" s="1"/>
      <x:c r="B35" s="1"/>
      <x:c r="C35" s="1" t="str">
        <x:v>Large property / town mix</x:v>
      </x:c>
      <x:c r="D35" s="51" t="n">
        <x:f>'Town forecast'!D41+'Town forecast'!D44+'Town forecast'!D47</x:f>
        <x:v>0.25</x:v>
      </x:c>
      <x:c r="E35" s="51" t="n">
        <x:f>'Town forecast'!E41+'Town forecast'!E44+'Town forecast'!E47</x:f>
        <x:v>0.2729000444022701</x:v>
      </x:c>
      <x:c r="F35" s="51" t="n">
        <x:f>'Town forecast'!F41+'Town forecast'!F44+'Town forecast'!F47</x:f>
        <x:v>0.2631332207680326</x:v>
      </x:c>
      <x:c r="G35" s="51" t="n">
        <x:f>'Town forecast'!G41+'Town forecast'!G44+'Town forecast'!G47</x:f>
        <x:v>0.26187107641314383</x:v>
      </x:c>
      <x:c r="H35" s="51" t="n">
        <x:f>'Town forecast'!H41+'Town forecast'!H44+'Town forecast'!H47</x:f>
        <x:v>0.26880001760196126</x:v>
      </x:c>
      <x:c r="I35" s="51" t="n">
        <x:f>'Town forecast'!I41+'Town forecast'!I44+'Town forecast'!I47</x:f>
        <x:v>0.2781649788975239</x:v>
      </x:c>
      <x:c r="J35" s="51" t="n">
        <x:f>'Town forecast'!J41+'Town forecast'!J44+'Town forecast'!J47</x:f>
        <x:v>0.28639210037352625</x:v>
      </x:c>
      <x:c r="K35" s="1"/>
      <x:c r="L35" s="1"/>
      <x:c r="M35" s="1"/>
    </x:row>
    <x:row r="36" ht="22" customHeight="1">
      <x:c r="A36" s="1"/>
      <x:c r="B36" s="1"/>
      <x:c r="C36" s="1" t="str">
        <x:v>Very large property / remainder</x:v>
      </x:c>
      <x:c r="D36" s="16" t="n">
        <x:f>1-SUM(D34:D35)</x:f>
        <x:v>0.050000000000000044</x:v>
      </x:c>
      <x:c r="E36" s="16" t="n">
        <x:f>1-SUM(E34:E35)</x:f>
        <x:v>0.050000000000000155</x:v>
      </x:c>
      <x:c r="F36" s="16" t="n">
        <x:f>1-SUM(F34:F35)</x:f>
        <x:v>0.0474570506868538</x:v>
      </x:c>
      <x:c r="G36" s="16" t="n">
        <x:f>1-SUM(G34:G35)</x:f>
        <x:v>0.05153648868494676</x:v>
      </x:c>
      <x:c r="H36" s="16" t="n">
        <x:f>1-SUM(H34:H35)</x:f>
        <x:v>0.05874175758567235</x:v>
      </x:c>
      <x:c r="I36" s="16" t="n">
        <x:f>1-SUM(I34:I35)</x:f>
        <x:v>0.06714223207205361</x:v>
      </x:c>
      <x:c r="J36" s="16" t="n">
        <x:f>1-SUM(J34:J35)</x:f>
        <x:v>0.07607445096183052</x:v>
      </x:c>
      <x:c r="K36" s="1"/>
      <x:c r="L36" s="1"/>
      <x:c r="M36" s="1"/>
    </x:row>
    <x:row r="37" ht="22" customHeight="1">
      <x:c r="A37" s="1"/>
      <x:c r="B37" s="1"/>
      <x:c r="C37" s="1" t="str">
        <x:v>Large property multiplier</x:v>
      </x:c>
      <x:c r="D37" s="14" t="n">
        <x:v>1.35</x:v>
      </x:c>
      <x:c r="E37" s="14" t="n">
        <x:v>1.35</x:v>
      </x:c>
      <x:c r="F37" s="14" t="n">
        <x:v>1.35</x:v>
      </x:c>
      <x:c r="G37" s="14" t="n">
        <x:v>1.35</x:v>
      </x:c>
      <x:c r="H37" s="14" t="n">
        <x:v>1.35</x:v>
      </x:c>
      <x:c r="I37" s="14" t="n">
        <x:v>1.35</x:v>
      </x:c>
      <x:c r="J37" s="14" t="n">
        <x:v>1.35</x:v>
      </x:c>
      <x:c r="K37" s="1"/>
      <x:c r="L37" s="1"/>
      <x:c r="M37" s="1"/>
    </x:row>
    <x:row r="38" ht="22" customHeight="1">
      <x:c r="A38" s="1"/>
      <x:c r="B38" s="1"/>
      <x:c r="C38" s="1" t="str">
        <x:v>Very large property multiplier</x:v>
      </x:c>
      <x:c r="D38" s="14" t="n">
        <x:v>1.8</x:v>
      </x:c>
      <x:c r="E38" s="14" t="n">
        <x:v>1.8</x:v>
      </x:c>
      <x:c r="F38" s="14" t="n">
        <x:v>1.8</x:v>
      </x:c>
      <x:c r="G38" s="14" t="n">
        <x:v>1.8</x:v>
      </x:c>
      <x:c r="H38" s="14" t="n">
        <x:v>1.8</x:v>
      </x:c>
      <x:c r="I38" s="14" t="n">
        <x:v>1.8</x:v>
      </x:c>
      <x:c r="J38" s="14" t="n">
        <x:v>1.8</x:v>
      </x:c>
      <x:c r="K38" s="1"/>
      <x:c r="L38" s="1"/>
      <x:c r="M38" s="1"/>
    </x:row>
    <x:row r="39" ht="22" customHeight="1">
      <x:c r="A39" s="1"/>
      <x:c r="B39" s="1"/>
      <x:c r="C39" s="1" t="str">
        <x:v>Weighted property multiplier</x:v>
      </x:c>
      <x:c r="D39" s="13" t="n">
        <x:f>D34+D35*D37+D36*D38</x:f>
        <x:v>1.1275000000000002</x:v>
      </x:c>
      <x:c r="E39" s="13" t="n">
        <x:f>E34+E35*E37+E36*E38</x:f>
        <x:v>1.1355150155407947</x:v>
      </x:c>
      <x:c r="F39" s="13" t="n">
        <x:f>F34+F35*F37+F36*F38</x:f>
        <x:v>1.1300622678182943</x:v>
      </x:c>
      <x:c r="G39" s="13" t="n">
        <x:f>G34+G35*G37+G36*G38</x:f>
        <x:v>1.1328840676925578</x:v>
      </x:c>
      <x:c r="H39" s="13" t="n">
        <x:f>H34+H35*H37+H36*H38</x:f>
        <x:v>1.1410734122292245</x:v>
      </x:c>
      <x:c r="I39" s="13" t="n">
        <x:f>I34+I35*I37+I36*I38</x:f>
        <x:v>1.1510715282717763</x:v>
      </x:c>
      <x:c r="J39" s="13" t="n">
        <x:f>J34+J35*J37+J36*J38</x:f>
        <x:v>1.1610967959001985</x:v>
      </x:c>
      <x:c r="K39" s="1"/>
      <x:c r="L39" s="1"/>
      <x:c r="M39" s="1"/>
    </x:row>
    <x:row r="40" ht="22" customHeight="1">
      <x:c r="A40" s="1"/>
      <x:c r="B40" s="1"/>
      <x:c r="C40" s="1"/>
      <x:c r="D40" s="6"/>
      <x:c r="E40" s="6"/>
      <x:c r="F40" s="6"/>
      <x:c r="G40" s="6"/>
      <x:c r="H40" s="6"/>
      <x:c r="I40" s="6"/>
      <x:c r="J40" s="6"/>
      <x:c r="K40" s="1"/>
      <x:c r="L40" s="1"/>
      <x:c r="M40" s="1"/>
    </x:row>
    <x:row r="41" ht="22" customHeight="1">
      <x:c r="A41" s="1"/>
      <x:c r="B41" s="1"/>
      <x:c r="C41" s="1" t="str">
        <x:v>Selected-case price multiplier</x:v>
      </x:c>
      <x:c r="D41" s="65" t="n">
        <x:f>'Assumptions'!D32</x:f>
        <x:v>1</x:v>
      </x:c>
      <x:c r="E41" s="65" t="n">
        <x:f>'Assumptions'!E32</x:f>
        <x:v>1</x:v>
      </x:c>
      <x:c r="F41" s="65" t="n">
        <x:f>'Assumptions'!F32</x:f>
        <x:v>1</x:v>
      </x:c>
      <x:c r="G41" s="65" t="n">
        <x:f>'Assumptions'!G32</x:f>
        <x:v>1</x:v>
      </x:c>
      <x:c r="H41" s="65" t="n">
        <x:f>'Assumptions'!H32</x:f>
        <x:v>1</x:v>
      </x:c>
      <x:c r="I41" s="65" t="n">
        <x:f>'Assumptions'!I32</x:f>
        <x:v>1</x:v>
      </x:c>
      <x:c r="J41" s="65" t="n">
        <x:f>'Assumptions'!J32</x:f>
        <x:v>1</x:v>
      </x:c>
      <x:c r="K41" s="1"/>
      <x:c r="L41" s="1"/>
      <x:c r="M41" s="1"/>
    </x:row>
    <x:row r="42" ht="22" customHeight="1">
      <x:c r="A42" s="1"/>
      <x:c r="B42" s="1"/>
      <x:c r="C42" s="1"/>
      <x:c r="D42" s="6"/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22" customHeight="1">
      <x:c r="A43" s="1"/>
      <x:c r="B43" s="1"/>
      <x:c r="C43" s="1" t="str">
        <x:v>Scheduled maintenance visits / household</x:v>
      </x:c>
      <x:c r="D43" s="56" t="n">
        <x:f>'Assumptions'!D17</x:f>
        <x:v>20</x:v>
      </x:c>
      <x:c r="E43" s="56" t="n">
        <x:f>'Assumptions'!E17</x:f>
        <x:v>20</x:v>
      </x:c>
      <x:c r="F43" s="56" t="n">
        <x:f>'Assumptions'!F17</x:f>
        <x:v>20</x:v>
      </x:c>
      <x:c r="G43" s="56" t="n">
        <x:f>'Assumptions'!G17</x:f>
        <x:v>20</x:v>
      </x:c>
      <x:c r="H43" s="56" t="n">
        <x:f>'Assumptions'!H17</x:f>
        <x:v>20</x:v>
      </x:c>
      <x:c r="I43" s="56" t="n">
        <x:f>'Assumptions'!I17</x:f>
        <x:v>20</x:v>
      </x:c>
      <x:c r="J43" s="56" t="n">
        <x:f>'Assumptions'!J17</x:f>
        <x:v>20</x:v>
      </x:c>
      <x:c r="K43" s="1"/>
      <x:c r="L43" s="1"/>
      <x:c r="M43" s="1"/>
    </x:row>
    <x:row r="44" ht="22" customHeight="1">
      <x:c r="A44" s="1"/>
      <x:c r="B44" s="1"/>
      <x:c r="C44" s="4" t="str">
        <x:v>All scheduled jobs / household</x:v>
      </x:c>
      <x:c r="D44" s="66" t="n">
        <x:f>D43+SUM(D22:D23)</x:f>
        <x:v>20.63</x:v>
      </x:c>
      <x:c r="E44" s="66" t="n">
        <x:f>E43+SUM(E22:E23)</x:f>
        <x:v>20.71</x:v>
      </x:c>
      <x:c r="F44" s="66" t="n">
        <x:f>F43+SUM(F22:F23)</x:f>
        <x:v>20.78</x:v>
      </x:c>
      <x:c r="G44" s="66" t="n">
        <x:f>G43+SUM(G22:G23)</x:f>
        <x:v>20.86</x:v>
      </x:c>
      <x:c r="H44" s="66" t="n">
        <x:f>H43+SUM(H22:H23)</x:f>
        <x:v>20.94</x:v>
      </x:c>
      <x:c r="I44" s="66" t="n">
        <x:f>I43+SUM(I22:I23)</x:f>
        <x:v>21.005</x:v>
      </x:c>
      <x:c r="J44" s="66" t="n">
        <x:f>J43+SUM(J22:J23)</x:f>
        <x:v>21.08</x:v>
      </x:c>
      <x:c r="K44" s="1"/>
      <x:c r="L44" s="1"/>
      <x:c r="M44" s="1"/>
    </x:row>
    <x:row r="45" ht="22" customHeight="1">
      <x:c r="A45" s="1"/>
      <x:c r="B45" s="1"/>
      <x:c r="C45" s="1" t="str">
        <x:v>Maintenance weighted average price</x:v>
      </x:c>
      <x:c r="D45" s="63" t="n">
        <x:f>SUMPRODUCT(D7:D9,D16:D18)*('Town forecast'!D40*1*1+'Town forecast'!D41*1*D37+'Town forecast'!D42*1*D38+'Town forecast'!D43*D29*1+'Town forecast'!D44*D29*D37+'Town forecast'!D45*D29*D38+'Town forecast'!D46*D30*1+'Town forecast'!D47*D30*D37+'Town forecast'!D48*D30*D38)*D41</x:f>
        <x:v>82.87125000000003</x:v>
      </x:c>
      <x:c r="E45" s="63" t="n">
        <x:f>SUMPRODUCT(E7:E9,E16:E18)*('Town forecast'!E40*1*1+'Town forecast'!E41*1*E37+'Town forecast'!E42*1*E38+'Town forecast'!E43*E29*1+'Town forecast'!E44*E29*E37+'Town forecast'!E45*E29*E38+'Town forecast'!E46*E30*1+'Town forecast'!E47*E30*E37+'Town forecast'!E48*E30*E38)*E41</x:f>
        <x:v>90.237783833818</x:v>
      </x:c>
      <x:c r="F45" s="63" t="n">
        <x:f>SUMPRODUCT(F7:F9,F16:F18)*('Town forecast'!F40*1*1+'Town forecast'!F41*1*F37+'Town forecast'!F42*1*F38+'Town forecast'!F43*F29*1+'Town forecast'!F44*F29*F37+'Town forecast'!F45*F29*F38+'Town forecast'!F46*F30*1+'Town forecast'!F47*F30*F37+'Town forecast'!F48*F30*F38)*F41</x:f>
        <x:v>93.48657937853646</x:v>
      </x:c>
      <x:c r="G45" s="63" t="n">
        <x:f>SUMPRODUCT(G7:G9,G16:G18)*('Town forecast'!G40*1*1+'Town forecast'!G41*1*G37+'Town forecast'!G42*1*G38+'Town forecast'!G43*G29*1+'Town forecast'!G44*G29*G37+'Town forecast'!G45*G29*G38+'Town forecast'!G46*G30*1+'Town forecast'!G47*G30*G37+'Town forecast'!G48*G30*G38)*G41</x:f>
        <x:v>98.00667419088424</x:v>
      </x:c>
      <x:c r="H45" s="63" t="n">
        <x:f>SUMPRODUCT(H7:H9,H16:H18)*('Town forecast'!H40*1*1+'Town forecast'!H41*1*H37+'Town forecast'!H42*1*H38+'Town forecast'!H43*H29*1+'Town forecast'!H44*H29*H37+'Town forecast'!H45*H29*H38+'Town forecast'!H46*H30*1+'Town forecast'!H47*H30*H37+'Town forecast'!H48*H30*H38)*H41</x:f>
        <x:v>103.90259567754724</x:v>
      </x:c>
      <x:c r="I45" s="63" t="n">
        <x:f>SUMPRODUCT(I7:I9,I16:I18)*('Town forecast'!I40*1*1+'Town forecast'!I41*1*I37+'Town forecast'!I42*1*I38+'Town forecast'!I43*I29*1+'Town forecast'!I44*I29*I37+'Town forecast'!I45*I29*I38+'Town forecast'!I46*I30*1+'Town forecast'!I47*I30*I37+'Town forecast'!I48*I30*I38)*I41</x:f>
        <x:v>110.68338568363757</x:v>
      </x:c>
      <x:c r="J45" s="63" t="n">
        <x:f>SUMPRODUCT(J7:J9,J16:J18)*('Town forecast'!J40*1*1+'Town forecast'!J41*1*J37+'Town forecast'!J42*1*J38+'Town forecast'!J43*J29*1+'Town forecast'!J44*J29*J37+'Town forecast'!J45*J29*J38+'Town forecast'!J46*J30*1+'Town forecast'!J47*J30*J37+'Town forecast'!J48*J30*J38)*J41</x:f>
        <x:v>117.8405364423013</x:v>
      </x:c>
      <x:c r="K45" s="1"/>
      <x:c r="L45" s="1"/>
      <x:c r="M45" s="1"/>
    </x:row>
    <x:row r="46" ht="22" customHeight="1">
      <x:c r="A46" s="1"/>
      <x:c r="B46" s="1"/>
      <x:c r="C46" s="4" t="str">
        <x:v>All-job weighted average price</x:v>
      </x:c>
      <x:c r="D46" s="67" t="n">
        <x:f>SUMPRODUCT(D51:D55,D57:D61)/D44</x:f>
        <x:v>91.81774115365975</x:v>
      </x:c>
      <x:c r="E46" s="67" t="n">
        <x:f>SUMPRODUCT(E51:E55,E57:E61)/E44</x:f>
        <x:v>101.2572927436171</x:v>
      </x:c>
      <x:c r="F46" s="67" t="n">
        <x:f>SUMPRODUCT(F51:F55,F57:F61)/F44</x:f>
        <x:v>106.04699530217539</x:v>
      </x:c>
      <x:c r="G46" s="67" t="n">
        <x:f>SUMPRODUCT(G51:G55,G57:G61)/G44</x:f>
        <x:v>112.45127101731372</x:v>
      </x:c>
      <x:c r="H46" s="67" t="n">
        <x:f>SUMPRODUCT(H51:H55,H57:H61)/H44</x:f>
        <x:v>120.52535098896439</x:v>
      </x:c>
      <x:c r="I46" s="67" t="n">
        <x:f>SUMPRODUCT(I51:I55,I57:I61)/I44</x:f>
        <x:v>129.28416520358198</x:v>
      </x:c>
      <x:c r="J46" s="67" t="n">
        <x:f>SUMPRODUCT(J51:J55,J57:J61)/J44</x:f>
        <x:v>138.69253442396092</x:v>
      </x:c>
      <x:c r="K46" s="1"/>
      <x:c r="L46" s="1"/>
      <x:c r="M46" s="1"/>
    </x:row>
    <x:row r="47" ht="22" customHeight="1">
      <x:c r="A47" s="1"/>
      <x:c r="B47" s="1"/>
      <x:c r="C47" s="4" t="str">
        <x:v>Reference ACH cost / job</x:v>
      </x:c>
      <x:c r="D47" s="67" t="n">
        <x:f>SUMPRODUCT(D51:D55,D63:D67)/D44</x:f>
        <x:v>0.7286960736791082</x:v>
      </x:c>
      <x:c r="E47" s="67" t="n">
        <x:f>SUMPRODUCT(E51:E55,E63:E67)/E44</x:f>
        <x:v>0.8009298459958766</x:v>
      </x:c>
      <x:c r="F47" s="67" t="n">
        <x:f>SUMPRODUCT(F51:F55,F63:F67)/F44</x:f>
        <x:v>0.8364007631839057</x:v>
      </x:c>
      <x:c r="G47" s="67" t="n">
        <x:f>SUMPRODUCT(G51:G55,G63:G67)/G44</x:f>
        <x:v>0.8841126825557101</x:v>
      </x:c>
      <x:c r="H47" s="67" t="n">
        <x:f>SUMPRODUCT(H51:H55,H63:H67)/H44</x:f>
        <x:v>0.9441814428827221</x:v>
      </x:c>
      <x:c r="I47" s="67" t="n">
        <x:f>SUMPRODUCT(I51:I55,I63:I67)/I44</x:f>
        <x:v>1.0101233789045188</x:v>
      </x:c>
      <x:c r="J47" s="67" t="n">
        <x:f>SUMPRODUCT(J51:J55,J63:J67)/J44</x:f>
        <x:v>1.0803464127261564</x:v>
      </x:c>
      <x:c r="K47" s="1"/>
      <x:c r="L47" s="1"/>
      <x:c r="M47" s="1"/>
    </x:row>
    <x:row r="48" ht="22" customHeight="1">
      <x:c r="A48" s="1"/>
      <x:c r="B48" s="1"/>
      <x:c r="C48" s="4" t="str">
        <x:v>Reference card cost / job</x:v>
      </x:c>
      <x:c r="D48" s="68" t="n">
        <x:f>D46*'Assumptions'!$D$76+'Assumptions'!$D$77</x:f>
        <x:v>2.962714493456133</x:v>
      </x:c>
      <x:c r="E48" s="68" t="n">
        <x:f>E46*'Assumptions'!$D$76+'Assumptions'!$D$77</x:f>
        <x:v>3.236461489564896</x:v>
      </x:c>
      <x:c r="F48" s="68" t="n">
        <x:f>F46*'Assumptions'!$D$76+'Assumptions'!$D$77</x:f>
        <x:v>3.3753628637630864</x:v>
      </x:c>
      <x:c r="G48" s="68" t="n">
        <x:f>G46*'Assumptions'!$D$76+'Assumptions'!$D$77</x:f>
        <x:v>3.561086859502098</x:v>
      </x:c>
      <x:c r="H48" s="68" t="n">
        <x:f>H46*'Assumptions'!$D$76+'Assumptions'!$D$77</x:f>
        <x:v>3.795235178679967</x:v>
      </x:c>
      <x:c r="I48" s="68" t="n">
        <x:f>I46*'Assumptions'!$D$76+'Assumptions'!$D$77</x:f>
        <x:v>4.049240790903878</x:v>
      </x:c>
      <x:c r="J48" s="68" t="n">
        <x:f>J46*'Assumptions'!$D$76+'Assumptions'!$D$77</x:f>
        <x:v>4.322083498294867</x:v>
      </x:c>
      <x:c r="K48" s="1"/>
      <x:c r="L48" s="1"/>
      <x:c r="M48" s="1"/>
    </x:row>
    <x:row r="49" ht="22" customHeight="1">
      <x:c r="A49" s="1"/>
      <x:c r="B49" s="1"/>
      <x:c r="C49" s="1" t="str">
        <x:v>Invalid mix remainder check</x:v>
      </x:c>
      <x:c r="D49" s="55" t="n">
        <x:f>MIN(0,D16:D18,D26:D28,D34:D36)</x:f>
        <x:v>0</x:v>
      </x:c>
      <x:c r="E49" s="55" t="n">
        <x:f>MIN(0,E16:E18,E26:E28,E34:E36)</x:f>
        <x:v>0</x:v>
      </x:c>
      <x:c r="F49" s="55" t="n">
        <x:f>MIN(0,F16:F18,F26:F28,F34:F36)</x:f>
        <x:v>0</x:v>
      </x:c>
      <x:c r="G49" s="55" t="n">
        <x:f>MIN(0,G16:G18,G26:G28,G34:G36)</x:f>
        <x:v>0</x:v>
      </x:c>
      <x:c r="H49" s="55" t="n">
        <x:f>MIN(0,H16:H18,H26:H28,H34:H36)</x:f>
        <x:v>0</x:v>
      </x:c>
      <x:c r="I49" s="55" t="n">
        <x:f>MIN(0,I16:I18,I26:I28,I34:I36)</x:f>
        <x:v>0</x:v>
      </x:c>
      <x:c r="J49" s="55" t="n">
        <x:f>MIN(0,J16:J18,J26:J28,J34:J36)</x:f>
        <x:v>0</x:v>
      </x:c>
      <x:c r="K49" s="1"/>
      <x:c r="L49" s="1"/>
      <x:c r="M49" s="1"/>
    </x:row>
    <x:row r="50" ht="22" customHeight="1">
      <x:c r="A50" s="1"/>
      <x:c r="B50" s="1"/>
      <x:c r="C50" s="5" t="str">
        <x:v>Scheduled jobs by category / household</x:v>
      </x:c>
      <x:c r="D50" s="26"/>
      <x:c r="E50" s="26"/>
      <x:c r="F50" s="26"/>
      <x:c r="G50" s="26"/>
      <x:c r="H50" s="26"/>
      <x:c r="I50" s="26"/>
      <x:c r="J50" s="26"/>
      <x:c r="K50" s="1"/>
      <x:c r="L50" s="1"/>
      <x:c r="M50" s="1"/>
    </x:row>
    <x:row r="51" ht="22" customHeight="1">
      <x:c r="A51" s="1"/>
      <x:c r="B51" s="1"/>
      <x:c r="C51" s="1" t="str">
        <x:v>Basic mowing</x:v>
      </x:c>
      <x:c r="D51" s="55" t="n">
        <x:f>D43*D16</x:f>
        <x:v>12</x:v>
      </x:c>
      <x:c r="E51" s="55" t="n">
        <x:f>E43*E16</x:f>
        <x:v>11.5</x:v>
      </x:c>
      <x:c r="F51" s="55" t="n">
        <x:f>F43*F16</x:f>
        <x:v>11</x:v>
      </x:c>
      <x:c r="G51" s="55" t="n">
        <x:f>G43*G16</x:f>
        <x:v>10.5</x:v>
      </x:c>
      <x:c r="H51" s="55" t="n">
        <x:f>H43*H16</x:f>
        <x:v>10</x:v>
      </x:c>
      <x:c r="I51" s="55" t="n">
        <x:f>I43*I16</x:f>
        <x:v>9.5</x:v>
      </x:c>
      <x:c r="J51" s="55" t="n">
        <x:f>J43*J16</x:f>
        <x:v>9</x:v>
      </x:c>
      <x:c r="K51" s="1"/>
      <x:c r="L51" s="1"/>
      <x:c r="M51" s="1"/>
    </x:row>
    <x:row r="52" ht="22" customHeight="1">
      <x:c r="A52" s="1"/>
      <x:c r="B52" s="1"/>
      <x:c r="C52" s="1" t="str">
        <x:v>Mowing + edging / trimming</x:v>
      </x:c>
      <x:c r="D52" s="55" t="n">
        <x:f>D43*D17</x:f>
        <x:v>6</x:v>
      </x:c>
      <x:c r="E52" s="55" t="n">
        <x:f>E43*E17</x:f>
        <x:v>6.34</x:v>
      </x:c>
      <x:c r="F52" s="55" t="n">
        <x:f>F43*F17</x:f>
        <x:v>6.680000000000001</x:v>
      </x:c>
      <x:c r="G52" s="55" t="n">
        <x:f>G43*G17</x:f>
        <x:v>7</x:v>
      </x:c>
      <x:c r="H52" s="55" t="n">
        <x:f>H43*H17</x:f>
        <x:v>7.34</x:v>
      </x:c>
      <x:c r="I52" s="55" t="n">
        <x:f>I43*I17</x:f>
        <x:v>7.68</x:v>
      </x:c>
      <x:c r="J52" s="55" t="n">
        <x:f>J43*J17</x:f>
        <x:v>8</x:v>
      </x:c>
      <x:c r="K52" s="1"/>
      <x:c r="L52" s="1"/>
      <x:c r="M52" s="1"/>
    </x:row>
    <x:row r="53" ht="22" customHeight="1">
      <x:c r="A53" s="1"/>
      <x:c r="B53" s="1"/>
      <x:c r="C53" s="1" t="str">
        <x:v>Expanded maintenance bundle</x:v>
      </x:c>
      <x:c r="D53" s="55" t="n">
        <x:f>D43*D18</x:f>
        <x:v>2.0000000000000018</x:v>
      </x:c>
      <x:c r="E53" s="55" t="n">
        <x:f>E43*E18</x:f>
        <x:v>2.160000000000002</x:v>
      </x:c>
      <x:c r="F53" s="55" t="n">
        <x:f>F43*F18</x:f>
        <x:v>2.3199999999999976</x:v>
      </x:c>
      <x:c r="G53" s="55" t="n">
        <x:f>G43*G18</x:f>
        <x:v>2.5</x:v>
      </x:c>
      <x:c r="H53" s="55" t="n">
        <x:f>H43*H18</x:f>
        <x:v>2.66</x:v>
      </x:c>
      <x:c r="I53" s="55" t="n">
        <x:f>I43*I18</x:f>
        <x:v>2.8200000000000003</x:v>
      </x:c>
      <x:c r="J53" s="55" t="n">
        <x:f>J43*J18</x:f>
        <x:v>2.9999999999999982</x:v>
      </x:c>
      <x:c r="K53" s="1"/>
      <x:c r="L53" s="1"/>
      <x:c r="M53" s="1"/>
    </x:row>
    <x:row r="54" ht="22" customHeight="1">
      <x:c r="A54" s="1"/>
      <x:c r="B54" s="1"/>
      <x:c r="C54" s="1" t="str">
        <x:v>Mulch / seasonal cleanup</x:v>
      </x:c>
      <x:c r="D54" s="55" t="n">
        <x:f>D22</x:f>
        <x:v>0.6</x:v>
      </x:c>
      <x:c r="E54" s="55" t="n">
        <x:f>E22</x:f>
        <x:v>0.67</x:v>
      </x:c>
      <x:c r="F54" s="55" t="n">
        <x:f>F22</x:f>
        <x:v>0.73</x:v>
      </x:c>
      <x:c r="G54" s="55" t="n">
        <x:f>G22</x:f>
        <x:v>0.8</x:v>
      </x:c>
      <x:c r="H54" s="55" t="n">
        <x:f>H22</x:f>
        <x:v>0.87</x:v>
      </x:c>
      <x:c r="I54" s="55" t="n">
        <x:f>I22</x:f>
        <x:v>0.93</x:v>
      </x:c>
      <x:c r="J54" s="55" t="n">
        <x:f>J22</x:f>
        <x:v>1</x:v>
      </x:c>
      <x:c r="K54" s="1"/>
      <x:c r="L54" s="1"/>
      <x:c r="M54" s="1"/>
    </x:row>
    <x:row r="55" ht="22" customHeight="1">
      <x:c r="A55" s="1"/>
      <x:c r="B55" s="1"/>
      <x:c r="C55" s="1" t="str">
        <x:v>Tree / larger property project</x:v>
      </x:c>
      <x:c r="D55" s="55" t="n">
        <x:f>D23</x:f>
        <x:v>0.03</x:v>
      </x:c>
      <x:c r="E55" s="55" t="n">
        <x:f>E23</x:f>
        <x:v>0.04</x:v>
      </x:c>
      <x:c r="F55" s="55" t="n">
        <x:f>F23</x:f>
        <x:v>0.05</x:v>
      </x:c>
      <x:c r="G55" s="55" t="n">
        <x:f>G23</x:f>
        <x:v>0.06</x:v>
      </x:c>
      <x:c r="H55" s="55" t="n">
        <x:f>H23</x:f>
        <x:v>0.07</x:v>
      </x:c>
      <x:c r="I55" s="55" t="n">
        <x:f>I23</x:f>
        <x:v>0.075</x:v>
      </x:c>
      <x:c r="J55" s="55" t="n">
        <x:f>J23</x:f>
        <x:v>0.08</x:v>
      </x:c>
      <x:c r="K55" s="1"/>
      <x:c r="L55" s="1"/>
      <x:c r="M55" s="1"/>
    </x:row>
    <x:row r="56" ht="22" customHeight="1">
      <x:c r="A56" s="1"/>
      <x:c r="B56" s="1"/>
      <x:c r="C56" s="5" t="str">
        <x:v>Weighted service price by category</x:v>
      </x:c>
      <x:c r="D56" s="26"/>
      <x:c r="E56" s="26"/>
      <x:c r="F56" s="26"/>
      <x:c r="G56" s="26"/>
      <x:c r="H56" s="26"/>
      <x:c r="I56" s="26"/>
      <x:c r="J56" s="26"/>
      <x:c r="K56" s="1"/>
      <x:c r="L56" s="1"/>
      <x:c r="M56" s="1"/>
    </x:row>
    <x:row r="57" ht="22" customHeight="1">
      <x:c r="A57" s="1"/>
      <x:c r="B57" s="1"/>
      <x:c r="C57" s="1" t="str">
        <x:v>Basic mowing</x:v>
      </x:c>
      <x:c r="D57" s="63" t="n">
        <x:f>D7*('Town forecast'!D40*1*1+'Town forecast'!D41*1*D37+'Town forecast'!D42*1*D38+'Town forecast'!D43*D29*1+'Town forecast'!D44*D29*D37+'Town forecast'!D45*D29*D38+'Town forecast'!D46*D30*1+'Town forecast'!D47*D30*D37+'Town forecast'!D48*D30*D38)*D41</x:f>
        <x:v>67.65</x:v>
      </x:c>
      <x:c r="E57" s="63" t="n">
        <x:f>E7*('Town forecast'!E40*1*1+'Town forecast'!E41*1*E37+'Town forecast'!E42*1*E38+'Town forecast'!E43*E29*1+'Town forecast'!E44*E29*E37+'Town forecast'!E45*E29*E38+'Town forecast'!E46*E30*1+'Town forecast'!E47*E30*E37+'Town forecast'!E48*E30*E38)*E41</x:f>
        <x:v>72.76751602753954</x:v>
      </x:c>
      <x:c r="F57" s="63" t="n">
        <x:f>F7*('Town forecast'!F40*1*1+'Town forecast'!F41*1*F37+'Town forecast'!F42*1*F38+'Town forecast'!F43*F29*1+'Town forecast'!F44*F29*F37+'Town forecast'!F45*F29*F38+'Town forecast'!F46*F30*1+'Town forecast'!F47*F30*F37+'Town forecast'!F48*F30*F38)*F41</x:f>
        <x:v>74.48140702047787</x:v>
      </x:c>
      <x:c r="G57" s="63" t="n">
        <x:f>G7*('Town forecast'!G40*1*1+'Town forecast'!G41*1*G37+'Town forecast'!G42*1*G38+'Town forecast'!G43*G29*1+'Town forecast'!G44*G29*G37+'Town forecast'!G45*G29*G38+'Town forecast'!G46*G30*1+'Town forecast'!G47*G30*G37+'Town forecast'!G48*G30*G38)*G41</x:f>
        <x:v>77.12000592069579</x:v>
      </x:c>
      <x:c r="H57" s="63" t="n">
        <x:f>H7*('Town forecast'!H40*1*1+'Town forecast'!H41*1*H37+'Town forecast'!H42*1*H38+'Town forecast'!H43*H29*1+'Town forecast'!H44*H29*H37+'Town forecast'!H45*H29*H38+'Town forecast'!H46*H30*1+'Town forecast'!H47*H30*H37+'Town forecast'!H48*H30*H38)*H41</x:f>
        <x:v>80.80041138815156</x:v>
      </x:c>
      <x:c r="I57" s="63" t="n">
        <x:f>I7*('Town forecast'!I40*1*1+'Town forecast'!I41*1*I37+'Town forecast'!I42*1*I38+'Town forecast'!I43*I29*1+'Town forecast'!I44*I29*I37+'Town forecast'!I45*I29*I38+'Town forecast'!I46*I30*1+'Town forecast'!I47*I30*I37+'Town forecast'!I48*I30*I38)*I41</x:f>
        <x:v>85.07562312347238</x:v>
      </x:c>
      <x:c r="J57" s="63" t="n">
        <x:f>J7*('Town forecast'!J40*1*1+'Town forecast'!J41*1*J37+'Town forecast'!J42*1*J38+'Town forecast'!J43*J29*1+'Town forecast'!J44*J29*J37+'Town forecast'!J45*J29*J38+'Town forecast'!J46*J30*1+'Town forecast'!J47*J30*J37+'Town forecast'!J48*J30*J38)*J41</x:f>
        <x:v>89.49914160174782</x:v>
      </x:c>
      <x:c r="K57" s="1"/>
      <x:c r="L57" s="1"/>
      <x:c r="M57" s="1"/>
    </x:row>
    <x:row r="58" ht="22" customHeight="1">
      <x:c r="A58" s="1"/>
      <x:c r="B58" s="1"/>
      <x:c r="C58" s="1" t="str">
        <x:v>Mowing + edging / trimming</x:v>
      </x:c>
      <x:c r="D58" s="63" t="n">
        <x:f>D8*('Town forecast'!D40*1*1+'Town forecast'!D41*1*D37+'Town forecast'!D42*1*D38+'Town forecast'!D43*D29*1+'Town forecast'!D44*D29*D37+'Town forecast'!D45*D29*D38+'Town forecast'!D46*D30*1+'Town forecast'!D47*D30*D37+'Town forecast'!D48*D30*D38)*D41</x:f>
        <x:v>95.83750000000002</x:v>
      </x:c>
      <x:c r="E58" s="63" t="n">
        <x:f>E8*('Town forecast'!E40*1*1+'Town forecast'!E41*1*E37+'Town forecast'!E42*1*E38+'Town forecast'!E43*E29*1+'Town forecast'!E44*E29*E37+'Town forecast'!E45*E29*E38+'Town forecast'!E46*E30*1+'Town forecast'!E47*E30*E37+'Town forecast'!E48*E30*E38)*E41</x:f>
        <x:v>103.08731437234768</x:v>
      </x:c>
      <x:c r="F58" s="63" t="n">
        <x:f>F8*('Town forecast'!F40*1*1+'Town forecast'!F41*1*F37+'Town forecast'!F42*1*F38+'Town forecast'!F43*F29*1+'Town forecast'!F44*F29*F37+'Town forecast'!F45*F29*F38+'Town forecast'!F46*F30*1+'Town forecast'!F47*F30*F37+'Town forecast'!F48*F30*F38)*F41</x:f>
        <x:v>105.51532661234366</x:v>
      </x:c>
      <x:c r="G58" s="63" t="n">
        <x:f>G8*('Town forecast'!G40*1*1+'Town forecast'!G41*1*G37+'Town forecast'!G42*1*G38+'Town forecast'!G43*G29*1+'Town forecast'!G44*G29*G37+'Town forecast'!G45*G29*G38+'Town forecast'!G46*G30*1+'Town forecast'!G47*G30*G37+'Town forecast'!G48*G30*G38)*G41</x:f>
        <x:v>109.25334172098572</x:v>
      </x:c>
      <x:c r="H58" s="63" t="n">
        <x:f>H8*('Town forecast'!H40*1*1+'Town forecast'!H41*1*H37+'Town forecast'!H42*1*H38+'Town forecast'!H43*H29*1+'Town forecast'!H44*H29*H37+'Town forecast'!H45*H29*H38+'Town forecast'!H46*H30*1+'Town forecast'!H47*H30*H37+'Town forecast'!H48*H30*H38)*H41</x:f>
        <x:v>114.46724946654807</x:v>
      </x:c>
      <x:c r="I58" s="63" t="n">
        <x:f>I8*('Town forecast'!I40*1*1+'Town forecast'!I41*1*I37+'Town forecast'!I42*1*I38+'Town forecast'!I43*I29*1+'Town forecast'!I44*I29*I37+'Town forecast'!I45*I29*I38+'Town forecast'!I46*I30*1+'Town forecast'!I47*I30*I37+'Town forecast'!I48*I30*I38)*I41</x:f>
        <x:v>120.52379942491923</x:v>
      </x:c>
      <x:c r="J58" s="63" t="n">
        <x:f>J8*('Town forecast'!J40*1*1+'Town forecast'!J41*1*J37+'Town forecast'!J42*1*J38+'Town forecast'!J43*J29*1+'Town forecast'!J44*J29*J37+'Town forecast'!J45*J29*J38+'Town forecast'!J46*J30*1+'Town forecast'!J47*J30*J37+'Town forecast'!J48*J30*J38)*J41</x:f>
        <x:v>126.7904506024761</x:v>
      </x:c>
      <x:c r="K58" s="1"/>
      <x:c r="L58" s="1"/>
      <x:c r="M58" s="1"/>
    </x:row>
    <x:row r="59" ht="22" customHeight="1">
      <x:c r="A59" s="1"/>
      <x:c r="B59" s="1"/>
      <x:c r="C59" s="1" t="str">
        <x:v>Expanded maintenance bundle</x:v>
      </x:c>
      <x:c r="D59" s="63" t="n">
        <x:f>D9*('Town forecast'!D40*1*1+'Town forecast'!D41*1*D37+'Town forecast'!D42*1*D38+'Town forecast'!D43*D29*1+'Town forecast'!D44*D29*D37+'Town forecast'!D45*D29*D38+'Town forecast'!D46*D30*1+'Town forecast'!D47*D30*D37+'Town forecast'!D48*D30*D38)*D41</x:f>
        <x:v>135.3</x:v>
      </x:c>
      <x:c r="E59" s="63" t="n">
        <x:f>E9*('Town forecast'!E40*1*1+'Town forecast'!E41*1*E37+'Town forecast'!E42*1*E38+'Town forecast'!E43*E29*1+'Town forecast'!E44*E29*E37+'Town forecast'!E45*E29*E38+'Town forecast'!E46*E30*1+'Town forecast'!E47*E30*E37+'Town forecast'!E48*E30*E38)*E41</x:f>
        <x:v>145.53503205507909</x:v>
      </x:c>
      <x:c r="F59" s="63" t="n">
        <x:f>F9*('Town forecast'!F40*1*1+'Town forecast'!F41*1*F37+'Town forecast'!F42*1*F38+'Town forecast'!F43*F29*1+'Town forecast'!F44*F29*F37+'Town forecast'!F45*F29*F38+'Town forecast'!F46*F30*1+'Town forecast'!F47*F30*F37+'Town forecast'!F48*F30*F38)*F41</x:f>
        <x:v>148.96281404095575</x:v>
      </x:c>
      <x:c r="G59" s="63" t="n">
        <x:f>G9*('Town forecast'!G40*1*1+'Town forecast'!G41*1*G37+'Town forecast'!G42*1*G38+'Town forecast'!G43*G29*1+'Town forecast'!G44*G29*G37+'Town forecast'!G45*G29*G38+'Town forecast'!G46*G30*1+'Town forecast'!G47*G30*G37+'Town forecast'!G48*G30*G38)*G41</x:f>
        <x:v>154.24001184139158</x:v>
      </x:c>
      <x:c r="H59" s="63" t="n">
        <x:f>H9*('Town forecast'!H40*1*1+'Town forecast'!H41*1*H37+'Town forecast'!H42*1*H38+'Town forecast'!H43*H29*1+'Town forecast'!H44*H29*H37+'Town forecast'!H45*H29*H38+'Town forecast'!H46*H30*1+'Town forecast'!H47*H30*H37+'Town forecast'!H48*H30*H38)*H41</x:f>
        <x:v>161.60082277630312</x:v>
      </x:c>
      <x:c r="I59" s="63" t="n">
        <x:f>I9*('Town forecast'!I40*1*1+'Town forecast'!I41*1*I37+'Town forecast'!I42*1*I38+'Town forecast'!I43*I29*1+'Town forecast'!I44*I29*I37+'Town forecast'!I45*I29*I38+'Town forecast'!I46*I30*1+'Town forecast'!I47*I30*I37+'Town forecast'!I48*I30*I38)*I41</x:f>
        <x:v>170.15124624694477</x:v>
      </x:c>
      <x:c r="J59" s="63" t="n">
        <x:f>J9*('Town forecast'!J40*1*1+'Town forecast'!J41*1*J37+'Town forecast'!J42*1*J38+'Town forecast'!J43*J29*1+'Town forecast'!J44*J29*J37+'Town forecast'!J45*J29*J38+'Town forecast'!J46*J30*1+'Town forecast'!J47*J30*J37+'Town forecast'!J48*J30*J38)*J41</x:f>
        <x:v>178.99828320349565</x:v>
      </x:c>
      <x:c r="K59" s="1"/>
      <x:c r="L59" s="1"/>
      <x:c r="M59" s="1"/>
    </x:row>
    <x:row r="60" ht="22" customHeight="1">
      <x:c r="A60" s="1"/>
      <x:c r="B60" s="1"/>
      <x:c r="C60" s="1" t="str">
        <x:v>Mulch / seasonal cleanup</x:v>
      </x:c>
      <x:c r="D60" s="63" t="n">
        <x:f>D10*('Town forecast'!D40*1*1+'Town forecast'!D41*1*D37+'Town forecast'!D42*1*D38+'Town forecast'!D43*D29*1+'Town forecast'!D44*D29*D37+'Town forecast'!D45*D29*D38+'Town forecast'!D46*D30*1+'Town forecast'!D47*D30*D37+'Town forecast'!D48*D30*D38)*D41</x:f>
        <x:v>338.25000000000006</x:v>
      </x:c>
      <x:c r="E60" s="63" t="n">
        <x:f>E10*('Town forecast'!E40*1*1+'Town forecast'!E41*1*E37+'Town forecast'!E42*1*E38+'Town forecast'!E43*E29*1+'Town forecast'!E44*E29*E37+'Town forecast'!E45*E29*E38+'Town forecast'!E46*E30*1+'Town forecast'!E47*E30*E37+'Town forecast'!E48*E30*E38)*E41</x:f>
        <x:v>363.83758013769767</x:v>
      </x:c>
      <x:c r="F60" s="63" t="n">
        <x:f>F10*('Town forecast'!F40*1*1+'Town forecast'!F41*1*F37+'Town forecast'!F42*1*F38+'Town forecast'!F43*F29*1+'Town forecast'!F44*F29*F37+'Town forecast'!F45*F29*F38+'Town forecast'!F46*F30*1+'Town forecast'!F47*F30*F37+'Town forecast'!F48*F30*F38)*F41</x:f>
        <x:v>372.40703510238933</x:v>
      </x:c>
      <x:c r="G60" s="63" t="n">
        <x:f>G10*('Town forecast'!G40*1*1+'Town forecast'!G41*1*G37+'Town forecast'!G42*1*G38+'Town forecast'!G43*G29*1+'Town forecast'!G44*G29*G37+'Town forecast'!G45*G29*G38+'Town forecast'!G46*G30*1+'Town forecast'!G47*G30*G37+'Town forecast'!G48*G30*G38)*G41</x:f>
        <x:v>385.60002960347896</x:v>
      </x:c>
      <x:c r="H60" s="63" t="n">
        <x:f>H10*('Town forecast'!H40*1*1+'Town forecast'!H41*1*H37+'Town forecast'!H42*1*H38+'Town forecast'!H43*H29*1+'Town forecast'!H44*H29*H37+'Town forecast'!H45*H29*H38+'Town forecast'!H46*H30*1+'Town forecast'!H47*H30*H37+'Town forecast'!H48*H30*H38)*H41</x:f>
        <x:v>404.0020569407578</x:v>
      </x:c>
      <x:c r="I60" s="63" t="n">
        <x:f>I10*('Town forecast'!I40*1*1+'Town forecast'!I41*1*I37+'Town forecast'!I42*1*I38+'Town forecast'!I43*I29*1+'Town forecast'!I44*I29*I37+'Town forecast'!I45*I29*I38+'Town forecast'!I46*I30*1+'Town forecast'!I47*I30*I37+'Town forecast'!I48*I30*I38)*I41</x:f>
        <x:v>425.3781156173619</x:v>
      </x:c>
      <x:c r="J60" s="63" t="n">
        <x:f>J10*('Town forecast'!J40*1*1+'Town forecast'!J41*1*J37+'Town forecast'!J42*1*J38+'Town forecast'!J43*J29*1+'Town forecast'!J44*J29*J37+'Town forecast'!J45*J29*J38+'Town forecast'!J46*J30*1+'Town forecast'!J47*J30*J37+'Town forecast'!J48*J30*J38)*J41</x:f>
        <x:v>447.49570800873914</x:v>
      </x:c>
      <x:c r="K60" s="1"/>
      <x:c r="L60" s="1"/>
      <x:c r="M60" s="1"/>
    </x:row>
    <x:row r="61" ht="22" customHeight="1">
      <x:c r="A61" s="1"/>
      <x:c r="B61" s="1"/>
      <x:c r="C61" s="1" t="str">
        <x:v>Tree / larger property project</x:v>
      </x:c>
      <x:c r="D61" s="63" t="n">
        <x:f>D11*('Town forecast'!D40*1*1+'Town forecast'!D41*1*D37+'Town forecast'!D42*1*D38+'Town forecast'!D43*D29*1+'Town forecast'!D44*D29*D37+'Town forecast'!D45*D29*D38+'Town forecast'!D46*D30*1+'Town forecast'!D47*D30*D37+'Town forecast'!D48*D30*D38)*D41</x:f>
        <x:v>1127.5000000000002</x:v>
      </x:c>
      <x:c r="E61" s="63" t="n">
        <x:f>E11*('Town forecast'!E40*1*1+'Town forecast'!E41*1*E37+'Town forecast'!E42*1*E38+'Town forecast'!E43*E29*1+'Town forecast'!E44*E29*E37+'Town forecast'!E45*E29*E38+'Town forecast'!E46*E30*1+'Town forecast'!E47*E30*E37+'Town forecast'!E48*E30*E38)*E41</x:f>
        <x:v>1212.7919337923256</x:v>
      </x:c>
      <x:c r="F61" s="63" t="n">
        <x:f>F11*('Town forecast'!F40*1*1+'Town forecast'!F41*1*F37+'Town forecast'!F42*1*F38+'Town forecast'!F43*F29*1+'Town forecast'!F44*F29*F37+'Town forecast'!F45*F29*F38+'Town forecast'!F46*F30*1+'Town forecast'!F47*F30*F37+'Town forecast'!F48*F30*F38)*F41</x:f>
        <x:v>1241.3567836746313</x:v>
      </x:c>
      <x:c r="G61" s="63" t="n">
        <x:f>G11*('Town forecast'!G40*1*1+'Town forecast'!G41*1*G37+'Town forecast'!G42*1*G38+'Town forecast'!G43*G29*1+'Town forecast'!G44*G29*G37+'Town forecast'!G45*G29*G38+'Town forecast'!G46*G30*1+'Town forecast'!G47*G30*G37+'Town forecast'!G48*G30*G38)*G41</x:f>
        <x:v>1285.3334320115966</x:v>
      </x:c>
      <x:c r="H61" s="63" t="n">
        <x:f>H11*('Town forecast'!H40*1*1+'Town forecast'!H41*1*H37+'Town forecast'!H42*1*H38+'Town forecast'!H43*H29*1+'Town forecast'!H44*H29*H37+'Town forecast'!H45*H29*H38+'Town forecast'!H46*H30*1+'Town forecast'!H47*H30*H37+'Town forecast'!H48*H30*H38)*H41</x:f>
        <x:v>1346.6735231358593</x:v>
      </x:c>
      <x:c r="I61" s="63" t="n">
        <x:f>I11*('Town forecast'!I40*1*1+'Town forecast'!I41*1*I37+'Town forecast'!I42*1*I38+'Town forecast'!I43*I29*1+'Town forecast'!I44*I29*I37+'Town forecast'!I45*I29*I38+'Town forecast'!I46*I30*1+'Town forecast'!I47*I30*I37+'Town forecast'!I48*I30*I38)*I41</x:f>
        <x:v>1417.9270520578732</x:v>
      </x:c>
      <x:c r="J61" s="63" t="n">
        <x:f>J11*('Town forecast'!J40*1*1+'Town forecast'!J41*1*J37+'Town forecast'!J42*1*J38+'Town forecast'!J43*J29*1+'Town forecast'!J44*J29*J37+'Town forecast'!J45*J29*J38+'Town forecast'!J46*J30*1+'Town forecast'!J47*J30*J37+'Town forecast'!J48*J30*J38)*J41</x:f>
        <x:v>1491.6523600291305</x:v>
      </x:c>
      <x:c r="K61" s="1"/>
      <x:c r="L61" s="1"/>
      <x:c r="M61" s="1"/>
    </x:row>
    <x:row r="62" ht="22" customHeight="1">
      <x:c r="A62" s="1"/>
      <x:c r="B62" s="1"/>
      <x:c r="C62" s="5" t="str">
        <x:v>ACH cost by category / transaction</x:v>
      </x:c>
      <x:c r="D62" s="26"/>
      <x:c r="E62" s="26"/>
      <x:c r="F62" s="26"/>
      <x:c r="G62" s="26"/>
      <x:c r="H62" s="26"/>
      <x:c r="I62" s="26"/>
      <x:c r="J62" s="26"/>
      <x:c r="K62" s="1"/>
      <x:c r="L62" s="1"/>
      <x:c r="M62" s="1"/>
    </x:row>
    <x:row r="63" ht="22" customHeight="1">
      <x:c r="A63" s="1"/>
      <x:c r="B63" s="1"/>
      <x:c r="C63" s="1" t="str">
        <x:v>Basic mowing</x:v>
      </x:c>
      <x:c r="D63" s="63" t="n">
        <x:f>'Town forecast'!D40*MIN(D7*1*1*D41*'Assumptions'!$D$78,'Assumptions'!$D$79)+'Town forecast'!D41*MIN(D7*1*D37*D41*'Assumptions'!$D$78,'Assumptions'!$D$79)+'Town forecast'!D42*MIN(D7*1*D38*D41*'Assumptions'!$D$78,'Assumptions'!$D$79)+'Town forecast'!D43*MIN(D7*D29*1*D41*'Assumptions'!$D$78,'Assumptions'!$D$79)+'Town forecast'!D44*MIN(D7*D29*D37*D41*'Assumptions'!$D$78,'Assumptions'!$D$79)+'Town forecast'!D45*MIN(D7*D29*D38*D41*'Assumptions'!$D$78,'Assumptions'!$D$79)+'Town forecast'!D46*MIN(D7*D30*1*D41*'Assumptions'!$D$78,'Assumptions'!$D$79)+'Town forecast'!D47*MIN(D7*D30*D37*D41*'Assumptions'!$D$78,'Assumptions'!$D$79)+'Town forecast'!D48*MIN(D7*D30*D38*D41*'Assumptions'!$D$78,'Assumptions'!$D$79)</x:f>
        <x:v>0.5412</x:v>
      </x:c>
      <x:c r="E63" s="63" t="n">
        <x:f>'Town forecast'!E40*MIN(E7*1*1*E41*'Assumptions'!$D$78,'Assumptions'!$D$79)+'Town forecast'!E41*MIN(E7*1*E37*E41*'Assumptions'!$D$78,'Assumptions'!$D$79)+'Town forecast'!E42*MIN(E7*1*E38*E41*'Assumptions'!$D$78,'Assumptions'!$D$79)+'Town forecast'!E43*MIN(E7*E29*1*E41*'Assumptions'!$D$78,'Assumptions'!$D$79)+'Town forecast'!E44*MIN(E7*E29*E37*E41*'Assumptions'!$D$78,'Assumptions'!$D$79)+'Town forecast'!E45*MIN(E7*E29*E38*E41*'Assumptions'!$D$78,'Assumptions'!$D$79)+'Town forecast'!E46*MIN(E7*E30*1*E41*'Assumptions'!$D$78,'Assumptions'!$D$79)+'Town forecast'!E47*MIN(E7*E30*E37*E41*'Assumptions'!$D$78,'Assumptions'!$D$79)+'Town forecast'!E48*MIN(E7*E30*E38*E41*'Assumptions'!$D$78,'Assumptions'!$D$79)</x:f>
        <x:v>0.5821401282203165</x:v>
      </x:c>
      <x:c r="F63" s="63" t="n">
        <x:f>'Town forecast'!F40*MIN(F7*1*1*F41*'Assumptions'!$D$78,'Assumptions'!$D$79)+'Town forecast'!F41*MIN(F7*1*F37*F41*'Assumptions'!$D$78,'Assumptions'!$D$79)+'Town forecast'!F42*MIN(F7*1*F38*F41*'Assumptions'!$D$78,'Assumptions'!$D$79)+'Town forecast'!F43*MIN(F7*F29*1*F41*'Assumptions'!$D$78,'Assumptions'!$D$79)+'Town forecast'!F44*MIN(F7*F29*F37*F41*'Assumptions'!$D$78,'Assumptions'!$D$79)+'Town forecast'!F45*MIN(F7*F29*F38*F41*'Assumptions'!$D$78,'Assumptions'!$D$79)+'Town forecast'!F46*MIN(F7*F30*1*F41*'Assumptions'!$D$78,'Assumptions'!$D$79)+'Town forecast'!F47*MIN(F7*F30*F37*F41*'Assumptions'!$D$78,'Assumptions'!$D$79)+'Town forecast'!F48*MIN(F7*F30*F38*F41*'Assumptions'!$D$78,'Assumptions'!$D$79)</x:f>
        <x:v>0.5958512561638228</x:v>
      </x:c>
      <x:c r="G63" s="63" t="n">
        <x:f>'Town forecast'!G40*MIN(G7*1*1*G41*'Assumptions'!$D$78,'Assumptions'!$D$79)+'Town forecast'!G41*MIN(G7*1*G37*G41*'Assumptions'!$D$78,'Assumptions'!$D$79)+'Town forecast'!G42*MIN(G7*1*G38*G41*'Assumptions'!$D$78,'Assumptions'!$D$79)+'Town forecast'!G43*MIN(G7*G29*1*G41*'Assumptions'!$D$78,'Assumptions'!$D$79)+'Town forecast'!G44*MIN(G7*G29*G37*G41*'Assumptions'!$D$78,'Assumptions'!$D$79)+'Town forecast'!G45*MIN(G7*G29*G38*G41*'Assumptions'!$D$78,'Assumptions'!$D$79)+'Town forecast'!G46*MIN(G7*G30*1*G41*'Assumptions'!$D$78,'Assumptions'!$D$79)+'Town forecast'!G47*MIN(G7*G30*G37*G41*'Assumptions'!$D$78,'Assumptions'!$D$79)+'Town forecast'!G48*MIN(G7*G30*G38*G41*'Assumptions'!$D$78,'Assumptions'!$D$79)</x:f>
        <x:v>0.6169600473655664</x:v>
      </x:c>
      <x:c r="H63" s="63" t="n">
        <x:f>'Town forecast'!H40*MIN(H7*1*1*H41*'Assumptions'!$D$78,'Assumptions'!$D$79)+'Town forecast'!H41*MIN(H7*1*H37*H41*'Assumptions'!$D$78,'Assumptions'!$D$79)+'Town forecast'!H42*MIN(H7*1*H38*H41*'Assumptions'!$D$78,'Assumptions'!$D$79)+'Town forecast'!H43*MIN(H7*H29*1*H41*'Assumptions'!$D$78,'Assumptions'!$D$79)+'Town forecast'!H44*MIN(H7*H29*H37*H41*'Assumptions'!$D$78,'Assumptions'!$D$79)+'Town forecast'!H45*MIN(H7*H29*H38*H41*'Assumptions'!$D$78,'Assumptions'!$D$79)+'Town forecast'!H46*MIN(H7*H30*1*H41*'Assumptions'!$D$78,'Assumptions'!$D$79)+'Town forecast'!H47*MIN(H7*H30*H37*H41*'Assumptions'!$D$78,'Assumptions'!$D$79)+'Town forecast'!H48*MIN(H7*H30*H38*H41*'Assumptions'!$D$78,'Assumptions'!$D$79)</x:f>
        <x:v>0.6464032911052123</x:v>
      </x:c>
      <x:c r="I63" s="63" t="n">
        <x:f>'Town forecast'!I40*MIN(I7*1*1*I41*'Assumptions'!$D$78,'Assumptions'!$D$79)+'Town forecast'!I41*MIN(I7*1*I37*I41*'Assumptions'!$D$78,'Assumptions'!$D$79)+'Town forecast'!I42*MIN(I7*1*I38*I41*'Assumptions'!$D$78,'Assumptions'!$D$79)+'Town forecast'!I43*MIN(I7*I29*1*I41*'Assumptions'!$D$78,'Assumptions'!$D$79)+'Town forecast'!I44*MIN(I7*I29*I37*I41*'Assumptions'!$D$78,'Assumptions'!$D$79)+'Town forecast'!I45*MIN(I7*I29*I38*I41*'Assumptions'!$D$78,'Assumptions'!$D$79)+'Town forecast'!I46*MIN(I7*I30*1*I41*'Assumptions'!$D$78,'Assumptions'!$D$79)+'Town forecast'!I47*MIN(I7*I30*I37*I41*'Assumptions'!$D$78,'Assumptions'!$D$79)+'Town forecast'!I48*MIN(I7*I30*I38*I41*'Assumptions'!$D$78,'Assumptions'!$D$79)</x:f>
        <x:v>0.6806049849877788</x:v>
      </x:c>
      <x:c r="J63" s="63" t="n">
        <x:f>'Town forecast'!J40*MIN(J7*1*1*J41*'Assumptions'!$D$78,'Assumptions'!$D$79)+'Town forecast'!J41*MIN(J7*1*J37*J41*'Assumptions'!$D$78,'Assumptions'!$D$79)+'Town forecast'!J42*MIN(J7*1*J38*J41*'Assumptions'!$D$78,'Assumptions'!$D$79)+'Town forecast'!J43*MIN(J7*J29*1*J41*'Assumptions'!$D$78,'Assumptions'!$D$79)+'Town forecast'!J44*MIN(J7*J29*J37*J41*'Assumptions'!$D$78,'Assumptions'!$D$79)+'Town forecast'!J45*MIN(J7*J29*J38*J41*'Assumptions'!$D$78,'Assumptions'!$D$79)+'Town forecast'!J46*MIN(J7*J30*1*J41*'Assumptions'!$D$78,'Assumptions'!$D$79)+'Town forecast'!J47*MIN(J7*J30*J37*J41*'Assumptions'!$D$78,'Assumptions'!$D$79)+'Town forecast'!J48*MIN(J7*J30*J38*J41*'Assumptions'!$D$78,'Assumptions'!$D$79)</x:f>
        <x:v>0.7159931328139827</x:v>
      </x:c>
      <x:c r="K63" s="1"/>
      <x:c r="L63" s="1"/>
      <x:c r="M63" s="1"/>
    </x:row>
    <x:row r="64" ht="22" customHeight="1">
      <x:c r="A64" s="1"/>
      <x:c r="B64" s="1"/>
      <x:c r="C64" s="1" t="str">
        <x:v>Mowing + edging / trimming</x:v>
      </x:c>
      <x:c r="D64" s="63" t="n">
        <x:f>'Town forecast'!D40*MIN(D8*1*1*D41*'Assumptions'!$D$78,'Assumptions'!$D$79)+'Town forecast'!D41*MIN(D8*1*D37*D41*'Assumptions'!$D$78,'Assumptions'!$D$79)+'Town forecast'!D42*MIN(D8*1*D38*D41*'Assumptions'!$D$78,'Assumptions'!$D$79)+'Town forecast'!D43*MIN(D8*D29*1*D41*'Assumptions'!$D$78,'Assumptions'!$D$79)+'Town forecast'!D44*MIN(D8*D29*D37*D41*'Assumptions'!$D$78,'Assumptions'!$D$79)+'Town forecast'!D45*MIN(D8*D29*D38*D41*'Assumptions'!$D$78,'Assumptions'!$D$79)+'Town forecast'!D46*MIN(D8*D30*1*D41*'Assumptions'!$D$78,'Assumptions'!$D$79)+'Town forecast'!D47*MIN(D8*D30*D37*D41*'Assumptions'!$D$78,'Assumptions'!$D$79)+'Town forecast'!D48*MIN(D8*D30*D38*D41*'Assumptions'!$D$78,'Assumptions'!$D$79)</x:f>
        <x:v>0.7667</x:v>
      </x:c>
      <x:c r="E64" s="63" t="n">
        <x:f>'Town forecast'!E40*MIN(E8*1*1*E41*'Assumptions'!$D$78,'Assumptions'!$D$79)+'Town forecast'!E41*MIN(E8*1*E37*E41*'Assumptions'!$D$78,'Assumptions'!$D$79)+'Town forecast'!E42*MIN(E8*1*E38*E41*'Assumptions'!$D$78,'Assumptions'!$D$79)+'Town forecast'!E43*MIN(E8*E29*1*E41*'Assumptions'!$D$78,'Assumptions'!$D$79)+'Town forecast'!E44*MIN(E8*E29*E37*E41*'Assumptions'!$D$78,'Assumptions'!$D$79)+'Town forecast'!E45*MIN(E8*E29*E38*E41*'Assumptions'!$D$78,'Assumptions'!$D$79)+'Town forecast'!E46*MIN(E8*E30*1*E41*'Assumptions'!$D$78,'Assumptions'!$D$79)+'Town forecast'!E47*MIN(E8*E30*E37*E41*'Assumptions'!$D$78,'Assumptions'!$D$79)+'Town forecast'!E48*MIN(E8*E30*E38*E41*'Assumptions'!$D$78,'Assumptions'!$D$79)</x:f>
        <x:v>0.8246985149787815</x:v>
      </x:c>
      <x:c r="F64" s="63" t="n">
        <x:f>'Town forecast'!F40*MIN(F8*1*1*F41*'Assumptions'!$D$78,'Assumptions'!$D$79)+'Town forecast'!F41*MIN(F8*1*F37*F41*'Assumptions'!$D$78,'Assumptions'!$D$79)+'Town forecast'!F42*MIN(F8*1*F38*F41*'Assumptions'!$D$78,'Assumptions'!$D$79)+'Town forecast'!F43*MIN(F8*F29*1*F41*'Assumptions'!$D$78,'Assumptions'!$D$79)+'Town forecast'!F44*MIN(F8*F29*F37*F41*'Assumptions'!$D$78,'Assumptions'!$D$79)+'Town forecast'!F45*MIN(F8*F29*F38*F41*'Assumptions'!$D$78,'Assumptions'!$D$79)+'Town forecast'!F46*MIN(F8*F30*1*F41*'Assumptions'!$D$78,'Assumptions'!$D$79)+'Town forecast'!F47*MIN(F8*F30*F37*F41*'Assumptions'!$D$78,'Assumptions'!$D$79)+'Town forecast'!F48*MIN(F8*F30*F38*F41*'Assumptions'!$D$78,'Assumptions'!$D$79)</x:f>
        <x:v>0.8441226128987491</x:v>
      </x:c>
      <x:c r="G64" s="63" t="n">
        <x:f>'Town forecast'!G40*MIN(G8*1*1*G41*'Assumptions'!$D$78,'Assumptions'!$D$79)+'Town forecast'!G41*MIN(G8*1*G37*G41*'Assumptions'!$D$78,'Assumptions'!$D$79)+'Town forecast'!G42*MIN(G8*1*G38*G41*'Assumptions'!$D$78,'Assumptions'!$D$79)+'Town forecast'!G43*MIN(G8*G29*1*G41*'Assumptions'!$D$78,'Assumptions'!$D$79)+'Town forecast'!G44*MIN(G8*G29*G37*G41*'Assumptions'!$D$78,'Assumptions'!$D$79)+'Town forecast'!G45*MIN(G8*G29*G38*G41*'Assumptions'!$D$78,'Assumptions'!$D$79)+'Town forecast'!G46*MIN(G8*G30*1*G41*'Assumptions'!$D$78,'Assumptions'!$D$79)+'Town forecast'!G47*MIN(G8*G30*G37*G41*'Assumptions'!$D$78,'Assumptions'!$D$79)+'Town forecast'!G48*MIN(G8*G30*G38*G41*'Assumptions'!$D$78,'Assumptions'!$D$79)</x:f>
        <x:v>0.8740267337678858</x:v>
      </x:c>
      <x:c r="H64" s="63" t="n">
        <x:f>'Town forecast'!H40*MIN(H8*1*1*H41*'Assumptions'!$D$78,'Assumptions'!$D$79)+'Town forecast'!H41*MIN(H8*1*H37*H41*'Assumptions'!$D$78,'Assumptions'!$D$79)+'Town forecast'!H42*MIN(H8*1*H38*H41*'Assumptions'!$D$78,'Assumptions'!$D$79)+'Town forecast'!H43*MIN(H8*H29*1*H41*'Assumptions'!$D$78,'Assumptions'!$D$79)+'Town forecast'!H44*MIN(H8*H29*H37*H41*'Assumptions'!$D$78,'Assumptions'!$D$79)+'Town forecast'!H45*MIN(H8*H29*H38*H41*'Assumptions'!$D$78,'Assumptions'!$D$79)+'Town forecast'!H46*MIN(H8*H30*1*H41*'Assumptions'!$D$78,'Assumptions'!$D$79)+'Town forecast'!H47*MIN(H8*H30*H37*H41*'Assumptions'!$D$78,'Assumptions'!$D$79)+'Town forecast'!H48*MIN(H8*H30*H38*H41*'Assumptions'!$D$78,'Assumptions'!$D$79)</x:f>
        <x:v>0.9157379957323845</x:v>
      </x:c>
      <x:c r="I64" s="63" t="n">
        <x:f>'Town forecast'!I40*MIN(I8*1*1*I41*'Assumptions'!$D$78,'Assumptions'!$D$79)+'Town forecast'!I41*MIN(I8*1*I37*I41*'Assumptions'!$D$78,'Assumptions'!$D$79)+'Town forecast'!I42*MIN(I8*1*I38*I41*'Assumptions'!$D$78,'Assumptions'!$D$79)+'Town forecast'!I43*MIN(I8*I29*1*I41*'Assumptions'!$D$78,'Assumptions'!$D$79)+'Town forecast'!I44*MIN(I8*I29*I37*I41*'Assumptions'!$D$78,'Assumptions'!$D$79)+'Town forecast'!I45*MIN(I8*I29*I38*I41*'Assumptions'!$D$78,'Assumptions'!$D$79)+'Town forecast'!I46*MIN(I8*I30*1*I41*'Assumptions'!$D$78,'Assumptions'!$D$79)+'Town forecast'!I47*MIN(I8*I30*I37*I41*'Assumptions'!$D$78,'Assumptions'!$D$79)+'Town forecast'!I48*MIN(I8*I30*I38*I41*'Assumptions'!$D$78,'Assumptions'!$D$79)</x:f>
        <x:v>0.9641903953993536</x:v>
      </x:c>
      <x:c r="J64" s="63" t="n">
        <x:f>'Town forecast'!J40*MIN(J8*1*1*J41*'Assumptions'!$D$78,'Assumptions'!$D$79)+'Town forecast'!J41*MIN(J8*1*J37*J41*'Assumptions'!$D$78,'Assumptions'!$D$79)+'Town forecast'!J42*MIN(J8*1*J38*J41*'Assumptions'!$D$78,'Assumptions'!$D$79)+'Town forecast'!J43*MIN(J8*J29*1*J41*'Assumptions'!$D$78,'Assumptions'!$D$79)+'Town forecast'!J44*MIN(J8*J29*J37*J41*'Assumptions'!$D$78,'Assumptions'!$D$79)+'Town forecast'!J45*MIN(J8*J29*J38*J41*'Assumptions'!$D$78,'Assumptions'!$D$79)+'Town forecast'!J46*MIN(J8*J30*1*J41*'Assumptions'!$D$78,'Assumptions'!$D$79)+'Town forecast'!J47*MIN(J8*J30*J37*J41*'Assumptions'!$D$78,'Assumptions'!$D$79)+'Town forecast'!J48*MIN(J8*J30*J38*J41*'Assumptions'!$D$78,'Assumptions'!$D$79)</x:f>
        <x:v>1.014323604819809</x:v>
      </x:c>
      <x:c r="K64" s="1"/>
      <x:c r="L64" s="1"/>
      <x:c r="M64" s="1"/>
    </x:row>
    <x:row r="65" ht="22" customHeight="1">
      <x:c r="A65" s="1"/>
      <x:c r="B65" s="1"/>
      <x:c r="C65" s="1" t="str">
        <x:v>Expanded maintenance bundle</x:v>
      </x:c>
      <x:c r="D65" s="63" t="n">
        <x:f>'Town forecast'!D40*MIN(D9*1*1*D41*'Assumptions'!$D$78,'Assumptions'!$D$79)+'Town forecast'!D41*MIN(D9*1*D37*D41*'Assumptions'!$D$78,'Assumptions'!$D$79)+'Town forecast'!D42*MIN(D9*1*D38*D41*'Assumptions'!$D$78,'Assumptions'!$D$79)+'Town forecast'!D43*MIN(D9*D29*1*D41*'Assumptions'!$D$78,'Assumptions'!$D$79)+'Town forecast'!D44*MIN(D9*D29*D37*D41*'Assumptions'!$D$78,'Assumptions'!$D$79)+'Town forecast'!D45*MIN(D9*D29*D38*D41*'Assumptions'!$D$78,'Assumptions'!$D$79)+'Town forecast'!D46*MIN(D9*D30*1*D41*'Assumptions'!$D$78,'Assumptions'!$D$79)+'Town forecast'!D47*MIN(D9*D30*D37*D41*'Assumptions'!$D$78,'Assumptions'!$D$79)+'Town forecast'!D48*MIN(D9*D30*D38*D41*'Assumptions'!$D$78,'Assumptions'!$D$79)</x:f>
        <x:v>1.0824</x:v>
      </x:c>
      <x:c r="E65" s="63" t="n">
        <x:f>'Town forecast'!E40*MIN(E9*1*1*E41*'Assumptions'!$D$78,'Assumptions'!$D$79)+'Town forecast'!E41*MIN(E9*1*E37*E41*'Assumptions'!$D$78,'Assumptions'!$D$79)+'Town forecast'!E42*MIN(E9*1*E38*E41*'Assumptions'!$D$78,'Assumptions'!$D$79)+'Town forecast'!E43*MIN(E9*E29*1*E41*'Assumptions'!$D$78,'Assumptions'!$D$79)+'Town forecast'!E44*MIN(E9*E29*E37*E41*'Assumptions'!$D$78,'Assumptions'!$D$79)+'Town forecast'!E45*MIN(E9*E29*E38*E41*'Assumptions'!$D$78,'Assumptions'!$D$79)+'Town forecast'!E46*MIN(E9*E30*1*E41*'Assumptions'!$D$78,'Assumptions'!$D$79)+'Town forecast'!E47*MIN(E9*E30*E37*E41*'Assumptions'!$D$78,'Assumptions'!$D$79)+'Town forecast'!E48*MIN(E9*E30*E38*E41*'Assumptions'!$D$78,'Assumptions'!$D$79)</x:f>
        <x:v>1.164280256440633</x:v>
      </x:c>
      <x:c r="F65" s="63" t="n">
        <x:f>'Town forecast'!F40*MIN(F9*1*1*F41*'Assumptions'!$D$78,'Assumptions'!$D$79)+'Town forecast'!F41*MIN(F9*1*F37*F41*'Assumptions'!$D$78,'Assumptions'!$D$79)+'Town forecast'!F42*MIN(F9*1*F38*F41*'Assumptions'!$D$78,'Assumptions'!$D$79)+'Town forecast'!F43*MIN(F9*F29*1*F41*'Assumptions'!$D$78,'Assumptions'!$D$79)+'Town forecast'!F44*MIN(F9*F29*F37*F41*'Assumptions'!$D$78,'Assumptions'!$D$79)+'Town forecast'!F45*MIN(F9*F29*F38*F41*'Assumptions'!$D$78,'Assumptions'!$D$79)+'Town forecast'!F46*MIN(F9*F30*1*F41*'Assumptions'!$D$78,'Assumptions'!$D$79)+'Town forecast'!F47*MIN(F9*F30*F37*F41*'Assumptions'!$D$78,'Assumptions'!$D$79)+'Town forecast'!F48*MIN(F9*F30*F38*F41*'Assumptions'!$D$78,'Assumptions'!$D$79)</x:f>
        <x:v>1.1917025123276457</x:v>
      </x:c>
      <x:c r="G65" s="63" t="n">
        <x:f>'Town forecast'!G40*MIN(G9*1*1*G41*'Assumptions'!$D$78,'Assumptions'!$D$79)+'Town forecast'!G41*MIN(G9*1*G37*G41*'Assumptions'!$D$78,'Assumptions'!$D$79)+'Town forecast'!G42*MIN(G9*1*G38*G41*'Assumptions'!$D$78,'Assumptions'!$D$79)+'Town forecast'!G43*MIN(G9*G29*1*G41*'Assumptions'!$D$78,'Assumptions'!$D$79)+'Town forecast'!G44*MIN(G9*G29*G37*G41*'Assumptions'!$D$78,'Assumptions'!$D$79)+'Town forecast'!G45*MIN(G9*G29*G38*G41*'Assumptions'!$D$78,'Assumptions'!$D$79)+'Town forecast'!G46*MIN(G9*G30*1*G41*'Assumptions'!$D$78,'Assumptions'!$D$79)+'Town forecast'!G47*MIN(G9*G30*G37*G41*'Assumptions'!$D$78,'Assumptions'!$D$79)+'Town forecast'!G48*MIN(G9*G30*G38*G41*'Assumptions'!$D$78,'Assumptions'!$D$79)</x:f>
        <x:v>1.2339200947311328</x:v>
      </x:c>
      <x:c r="H65" s="63" t="n">
        <x:f>'Town forecast'!H40*MIN(H9*1*1*H41*'Assumptions'!$D$78,'Assumptions'!$D$79)+'Town forecast'!H41*MIN(H9*1*H37*H41*'Assumptions'!$D$78,'Assumptions'!$D$79)+'Town forecast'!H42*MIN(H9*1*H38*H41*'Assumptions'!$D$78,'Assumptions'!$D$79)+'Town forecast'!H43*MIN(H9*H29*1*H41*'Assumptions'!$D$78,'Assumptions'!$D$79)+'Town forecast'!H44*MIN(H9*H29*H37*H41*'Assumptions'!$D$78,'Assumptions'!$D$79)+'Town forecast'!H45*MIN(H9*H29*H38*H41*'Assumptions'!$D$78,'Assumptions'!$D$79)+'Town forecast'!H46*MIN(H9*H30*1*H41*'Assumptions'!$D$78,'Assumptions'!$D$79)+'Town forecast'!H47*MIN(H9*H30*H37*H41*'Assumptions'!$D$78,'Assumptions'!$D$79)+'Town forecast'!H48*MIN(H9*H30*H38*H41*'Assumptions'!$D$78,'Assumptions'!$D$79)</x:f>
        <x:v>1.2928065822104247</x:v>
      </x:c>
      <x:c r="I65" s="63" t="n">
        <x:f>'Town forecast'!I40*MIN(I9*1*1*I41*'Assumptions'!$D$78,'Assumptions'!$D$79)+'Town forecast'!I41*MIN(I9*1*I37*I41*'Assumptions'!$D$78,'Assumptions'!$D$79)+'Town forecast'!I42*MIN(I9*1*I38*I41*'Assumptions'!$D$78,'Assumptions'!$D$79)+'Town forecast'!I43*MIN(I9*I29*1*I41*'Assumptions'!$D$78,'Assumptions'!$D$79)+'Town forecast'!I44*MIN(I9*I29*I37*I41*'Assumptions'!$D$78,'Assumptions'!$D$79)+'Town forecast'!I45*MIN(I9*I29*I38*I41*'Assumptions'!$D$78,'Assumptions'!$D$79)+'Town forecast'!I46*MIN(I9*I30*1*I41*'Assumptions'!$D$78,'Assumptions'!$D$79)+'Town forecast'!I47*MIN(I9*I30*I37*I41*'Assumptions'!$D$78,'Assumptions'!$D$79)+'Town forecast'!I48*MIN(I9*I30*I38*I41*'Assumptions'!$D$78,'Assumptions'!$D$79)</x:f>
        <x:v>1.3612099699755575</x:v>
      </x:c>
      <x:c r="J65" s="63" t="n">
        <x:f>'Town forecast'!J40*MIN(J9*1*1*J41*'Assumptions'!$D$78,'Assumptions'!$D$79)+'Town forecast'!J41*MIN(J9*1*J37*J41*'Assumptions'!$D$78,'Assumptions'!$D$79)+'Town forecast'!J42*MIN(J9*1*J38*J41*'Assumptions'!$D$78,'Assumptions'!$D$79)+'Town forecast'!J43*MIN(J9*J29*1*J41*'Assumptions'!$D$78,'Assumptions'!$D$79)+'Town forecast'!J44*MIN(J9*J29*J37*J41*'Assumptions'!$D$78,'Assumptions'!$D$79)+'Town forecast'!J45*MIN(J9*J29*J38*J41*'Assumptions'!$D$78,'Assumptions'!$D$79)+'Town forecast'!J46*MIN(J9*J30*1*J41*'Assumptions'!$D$78,'Assumptions'!$D$79)+'Town forecast'!J47*MIN(J9*J30*J37*J41*'Assumptions'!$D$78,'Assumptions'!$D$79)+'Town forecast'!J48*MIN(J9*J30*J38*J41*'Assumptions'!$D$78,'Assumptions'!$D$79)</x:f>
        <x:v>1.4319862656279654</x:v>
      </x:c>
      <x:c r="K65" s="1"/>
      <x:c r="L65" s="1"/>
      <x:c r="M65" s="1"/>
    </x:row>
    <x:row r="66" ht="22" customHeight="1">
      <x:c r="A66" s="1"/>
      <x:c r="B66" s="1"/>
      <x:c r="C66" s="1" t="str">
        <x:v>Mulch / seasonal cleanup</x:v>
      </x:c>
      <x:c r="D66" s="63" t="n">
        <x:f>'Town forecast'!D40*MIN(D10*1*1*D41*'Assumptions'!$D$78,'Assumptions'!$D$79)+'Town forecast'!D41*MIN(D10*1*D37*D41*'Assumptions'!$D$78,'Assumptions'!$D$79)+'Town forecast'!D42*MIN(D10*1*D38*D41*'Assumptions'!$D$78,'Assumptions'!$D$79)+'Town forecast'!D43*MIN(D10*D29*1*D41*'Assumptions'!$D$78,'Assumptions'!$D$79)+'Town forecast'!D44*MIN(D10*D29*D37*D41*'Assumptions'!$D$78,'Assumptions'!$D$79)+'Town forecast'!D45*MIN(D10*D29*D38*D41*'Assumptions'!$D$78,'Assumptions'!$D$79)+'Town forecast'!D46*MIN(D10*D30*1*D41*'Assumptions'!$D$78,'Assumptions'!$D$79)+'Town forecast'!D47*MIN(D10*D30*D37*D41*'Assumptions'!$D$78,'Assumptions'!$D$79)+'Town forecast'!D48*MIN(D10*D30*D38*D41*'Assumptions'!$D$78,'Assumptions'!$D$79)</x:f>
        <x:v>2.7060000000000004</x:v>
      </x:c>
      <x:c r="E66" s="63" t="n">
        <x:f>'Town forecast'!E40*MIN(E10*1*1*E41*'Assumptions'!$D$78,'Assumptions'!$D$79)+'Town forecast'!E41*MIN(E10*1*E37*E41*'Assumptions'!$D$78,'Assumptions'!$D$79)+'Town forecast'!E42*MIN(E10*1*E38*E41*'Assumptions'!$D$78,'Assumptions'!$D$79)+'Town forecast'!E43*MIN(E10*E29*1*E41*'Assumptions'!$D$78,'Assumptions'!$D$79)+'Town forecast'!E44*MIN(E10*E29*E37*E41*'Assumptions'!$D$78,'Assumptions'!$D$79)+'Town forecast'!E45*MIN(E10*E29*E38*E41*'Assumptions'!$D$78,'Assumptions'!$D$79)+'Town forecast'!E46*MIN(E10*E30*1*E41*'Assumptions'!$D$78,'Assumptions'!$D$79)+'Town forecast'!E47*MIN(E10*E30*E37*E41*'Assumptions'!$D$78,'Assumptions'!$D$79)+'Town forecast'!E48*MIN(E10*E30*E38*E41*'Assumptions'!$D$78,'Assumptions'!$D$79)</x:f>
        <x:v>2.9092711897965997</x:v>
      </x:c>
      <x:c r="F66" s="63" t="n">
        <x:f>'Town forecast'!F40*MIN(F10*1*1*F41*'Assumptions'!$D$78,'Assumptions'!$D$79)+'Town forecast'!F41*MIN(F10*1*F37*F41*'Assumptions'!$D$78,'Assumptions'!$D$79)+'Town forecast'!F42*MIN(F10*1*F38*F41*'Assumptions'!$D$78,'Assumptions'!$D$79)+'Town forecast'!F43*MIN(F10*F29*1*F41*'Assumptions'!$D$78,'Assumptions'!$D$79)+'Town forecast'!F44*MIN(F10*F29*F37*F41*'Assumptions'!$D$78,'Assumptions'!$D$79)+'Town forecast'!F45*MIN(F10*F29*F38*F41*'Assumptions'!$D$78,'Assumptions'!$D$79)+'Town forecast'!F46*MIN(F10*F30*1*F41*'Assumptions'!$D$78,'Assumptions'!$D$79)+'Town forecast'!F47*MIN(F10*F30*F37*F41*'Assumptions'!$D$78,'Assumptions'!$D$79)+'Town forecast'!F48*MIN(F10*F30*F38*F41*'Assumptions'!$D$78,'Assumptions'!$D$79)</x:f>
        <x:v>2.976102956706481</x:v>
      </x:c>
      <x:c r="G66" s="63" t="n">
        <x:f>'Town forecast'!G40*MIN(G10*1*1*G41*'Assumptions'!$D$78,'Assumptions'!$D$79)+'Town forecast'!G41*MIN(G10*1*G37*G41*'Assumptions'!$D$78,'Assumptions'!$D$79)+'Town forecast'!G42*MIN(G10*1*G38*G41*'Assumptions'!$D$78,'Assumptions'!$D$79)+'Town forecast'!G43*MIN(G10*G29*1*G41*'Assumptions'!$D$78,'Assumptions'!$D$79)+'Town forecast'!G44*MIN(G10*G29*G37*G41*'Assumptions'!$D$78,'Assumptions'!$D$79)+'Town forecast'!G45*MIN(G10*G29*G38*G41*'Assumptions'!$D$78,'Assumptions'!$D$79)+'Town forecast'!G46*MIN(G10*G30*1*G41*'Assumptions'!$D$78,'Assumptions'!$D$79)+'Town forecast'!G47*MIN(G10*G30*G37*G41*'Assumptions'!$D$78,'Assumptions'!$D$79)+'Town forecast'!G48*MIN(G10*G30*G38*G41*'Assumptions'!$D$78,'Assumptions'!$D$79)</x:f>
        <x:v>3.0769033594632877</x:v>
      </x:c>
      <x:c r="H66" s="63" t="n">
        <x:f>'Town forecast'!H40*MIN(H10*1*1*H41*'Assumptions'!$D$78,'Assumptions'!$D$79)+'Town forecast'!H41*MIN(H10*1*H37*H41*'Assumptions'!$D$78,'Assumptions'!$D$79)+'Town forecast'!H42*MIN(H10*1*H38*H41*'Assumptions'!$D$78,'Assumptions'!$D$79)+'Town forecast'!H43*MIN(H10*H29*1*H41*'Assumptions'!$D$78,'Assumptions'!$D$79)+'Town forecast'!H44*MIN(H10*H29*H37*H41*'Assumptions'!$D$78,'Assumptions'!$D$79)+'Town forecast'!H45*MIN(H10*H29*H38*H41*'Assumptions'!$D$78,'Assumptions'!$D$79)+'Town forecast'!H46*MIN(H10*H30*1*H41*'Assumptions'!$D$78,'Assumptions'!$D$79)+'Town forecast'!H47*MIN(H10*H30*H37*H41*'Assumptions'!$D$78,'Assumptions'!$D$79)+'Town forecast'!H48*MIN(H10*H30*H38*H41*'Assumptions'!$D$78,'Assumptions'!$D$79)</x:f>
        <x:v>3.214648397191545</x:v>
      </x:c>
      <x:c r="I66" s="63" t="n">
        <x:f>'Town forecast'!I40*MIN(I10*1*1*I41*'Assumptions'!$D$78,'Assumptions'!$D$79)+'Town forecast'!I41*MIN(I10*1*I37*I41*'Assumptions'!$D$78,'Assumptions'!$D$79)+'Town forecast'!I42*MIN(I10*1*I38*I41*'Assumptions'!$D$78,'Assumptions'!$D$79)+'Town forecast'!I43*MIN(I10*I29*1*I41*'Assumptions'!$D$78,'Assumptions'!$D$79)+'Town forecast'!I44*MIN(I10*I29*I37*I41*'Assumptions'!$D$78,'Assumptions'!$D$79)+'Town forecast'!I45*MIN(I10*I29*I38*I41*'Assumptions'!$D$78,'Assumptions'!$D$79)+'Town forecast'!I46*MIN(I10*I30*1*I41*'Assumptions'!$D$78,'Assumptions'!$D$79)+'Town forecast'!I47*MIN(I10*I30*I37*I41*'Assumptions'!$D$78,'Assumptions'!$D$79)+'Town forecast'!I48*MIN(I10*I30*I38*I41*'Assumptions'!$D$78,'Assumptions'!$D$79)</x:f>
        <x:v>3.36913963925528</x:v>
      </x:c>
      <x:c r="J66" s="63" t="n">
        <x:f>'Town forecast'!J40*MIN(J10*1*1*J41*'Assumptions'!$D$78,'Assumptions'!$D$79)+'Town forecast'!J41*MIN(J10*1*J37*J41*'Assumptions'!$D$78,'Assumptions'!$D$79)+'Town forecast'!J42*MIN(J10*1*J38*J41*'Assumptions'!$D$78,'Assumptions'!$D$79)+'Town forecast'!J43*MIN(J10*J29*1*J41*'Assumptions'!$D$78,'Assumptions'!$D$79)+'Town forecast'!J44*MIN(J10*J29*J37*J41*'Assumptions'!$D$78,'Assumptions'!$D$79)+'Town forecast'!J45*MIN(J10*J29*J38*J41*'Assumptions'!$D$78,'Assumptions'!$D$79)+'Town forecast'!J46*MIN(J10*J30*1*J41*'Assumptions'!$D$78,'Assumptions'!$D$79)+'Town forecast'!J47*MIN(J10*J30*J37*J41*'Assumptions'!$D$78,'Assumptions'!$D$79)+'Town forecast'!J48*MIN(J10*J30*J38*J41*'Assumptions'!$D$78,'Assumptions'!$D$79)</x:f>
        <x:v>3.5192165494991667</x:v>
      </x:c>
      <x:c r="K66" s="1"/>
      <x:c r="L66" s="1"/>
      <x:c r="M66" s="1"/>
    </x:row>
    <x:row r="67" ht="22" customHeight="1">
      <x:c r="A67" s="1"/>
      <x:c r="B67" s="1"/>
      <x:c r="C67" s="1" t="str">
        <x:v>Tree / larger property project</x:v>
      </x:c>
      <x:c r="D67" s="63" t="n">
        <x:f>'Town forecast'!D40*MIN(D11*1*1*D41*'Assumptions'!$D$78,'Assumptions'!$D$79)+'Town forecast'!D41*MIN(D11*1*D37*D41*'Assumptions'!$D$78,'Assumptions'!$D$79)+'Town forecast'!D42*MIN(D11*1*D38*D41*'Assumptions'!$D$78,'Assumptions'!$D$79)+'Town forecast'!D43*MIN(D11*D29*1*D41*'Assumptions'!$D$78,'Assumptions'!$D$79)+'Town forecast'!D44*MIN(D11*D29*D37*D41*'Assumptions'!$D$78,'Assumptions'!$D$79)+'Town forecast'!D45*MIN(D11*D29*D38*D41*'Assumptions'!$D$78,'Assumptions'!$D$79)+'Town forecast'!D46*MIN(D11*D30*1*D41*'Assumptions'!$D$78,'Assumptions'!$D$79)+'Town forecast'!D47*MIN(D11*D30*D37*D41*'Assumptions'!$D$78,'Assumptions'!$D$79)+'Town forecast'!D48*MIN(D11*D30*D38*D41*'Assumptions'!$D$78,'Assumptions'!$D$79)</x:f>
        <x:v>5</x:v>
      </x:c>
      <x:c r="E67" s="63" t="n">
        <x:f>'Town forecast'!E40*MIN(E11*1*1*E41*'Assumptions'!$D$78,'Assumptions'!$D$79)+'Town forecast'!E41*MIN(E11*1*E37*E41*'Assumptions'!$D$78,'Assumptions'!$D$79)+'Town forecast'!E42*MIN(E11*1*E38*E41*'Assumptions'!$D$78,'Assumptions'!$D$79)+'Town forecast'!E43*MIN(E11*E29*1*E41*'Assumptions'!$D$78,'Assumptions'!$D$79)+'Town forecast'!E44*MIN(E11*E29*E37*E41*'Assumptions'!$D$78,'Assumptions'!$D$79)+'Town forecast'!E45*MIN(E11*E29*E38*E41*'Assumptions'!$D$78,'Assumptions'!$D$79)+'Town forecast'!E46*MIN(E11*E30*1*E41*'Assumptions'!$D$78,'Assumptions'!$D$79)+'Town forecast'!E47*MIN(E11*E30*E37*E41*'Assumptions'!$D$78,'Assumptions'!$D$79)+'Town forecast'!E48*MIN(E11*E30*E38*E41*'Assumptions'!$D$78,'Assumptions'!$D$79)</x:f>
        <x:v>4.999999999999999</x:v>
      </x:c>
      <x:c r="F67" s="63" t="n">
        <x:f>'Town forecast'!F40*MIN(F11*1*1*F41*'Assumptions'!$D$78,'Assumptions'!$D$79)+'Town forecast'!F41*MIN(F11*1*F37*F41*'Assumptions'!$D$78,'Assumptions'!$D$79)+'Town forecast'!F42*MIN(F11*1*F38*F41*'Assumptions'!$D$78,'Assumptions'!$D$79)+'Town forecast'!F43*MIN(F11*F29*1*F41*'Assumptions'!$D$78,'Assumptions'!$D$79)+'Town forecast'!F44*MIN(F11*F29*F37*F41*'Assumptions'!$D$78,'Assumptions'!$D$79)+'Town forecast'!F45*MIN(F11*F29*F38*F41*'Assumptions'!$D$78,'Assumptions'!$D$79)+'Town forecast'!F46*MIN(F11*F30*1*F41*'Assumptions'!$D$78,'Assumptions'!$D$79)+'Town forecast'!F47*MIN(F11*F30*F37*F41*'Assumptions'!$D$78,'Assumptions'!$D$79)+'Town forecast'!F48*MIN(F11*F30*F38*F41*'Assumptions'!$D$78,'Assumptions'!$D$79)</x:f>
        <x:v>5</x:v>
      </x:c>
      <x:c r="G67" s="63" t="n">
        <x:f>'Town forecast'!G40*MIN(G11*1*1*G41*'Assumptions'!$D$78,'Assumptions'!$D$79)+'Town forecast'!G41*MIN(G11*1*G37*G41*'Assumptions'!$D$78,'Assumptions'!$D$79)+'Town forecast'!G42*MIN(G11*1*G38*G41*'Assumptions'!$D$78,'Assumptions'!$D$79)+'Town forecast'!G43*MIN(G11*G29*1*G41*'Assumptions'!$D$78,'Assumptions'!$D$79)+'Town forecast'!G44*MIN(G11*G29*G37*G41*'Assumptions'!$D$78,'Assumptions'!$D$79)+'Town forecast'!G45*MIN(G11*G29*G38*G41*'Assumptions'!$D$78,'Assumptions'!$D$79)+'Town forecast'!G46*MIN(G11*G30*1*G41*'Assumptions'!$D$78,'Assumptions'!$D$79)+'Town forecast'!G47*MIN(G11*G30*G37*G41*'Assumptions'!$D$78,'Assumptions'!$D$79)+'Town forecast'!G48*MIN(G11*G30*G38*G41*'Assumptions'!$D$78,'Assumptions'!$D$79)</x:f>
        <x:v>5</x:v>
      </x:c>
      <x:c r="H67" s="63" t="n">
        <x:f>'Town forecast'!H40*MIN(H11*1*1*H41*'Assumptions'!$D$78,'Assumptions'!$D$79)+'Town forecast'!H41*MIN(H11*1*H37*H41*'Assumptions'!$D$78,'Assumptions'!$D$79)+'Town forecast'!H42*MIN(H11*1*H38*H41*'Assumptions'!$D$78,'Assumptions'!$D$79)+'Town forecast'!H43*MIN(H11*H29*1*H41*'Assumptions'!$D$78,'Assumptions'!$D$79)+'Town forecast'!H44*MIN(H11*H29*H37*H41*'Assumptions'!$D$78,'Assumptions'!$D$79)+'Town forecast'!H45*MIN(H11*H29*H38*H41*'Assumptions'!$D$78,'Assumptions'!$D$79)+'Town forecast'!H46*MIN(H11*H30*1*H41*'Assumptions'!$D$78,'Assumptions'!$D$79)+'Town forecast'!H47*MIN(H11*H30*H37*H41*'Assumptions'!$D$78,'Assumptions'!$D$79)+'Town forecast'!H48*MIN(H11*H30*H38*H41*'Assumptions'!$D$78,'Assumptions'!$D$79)</x:f>
        <x:v>5</x:v>
      </x:c>
      <x:c r="I67" s="63" t="n">
        <x:f>'Town forecast'!I40*MIN(I11*1*1*I41*'Assumptions'!$D$78,'Assumptions'!$D$79)+'Town forecast'!I41*MIN(I11*1*I37*I41*'Assumptions'!$D$78,'Assumptions'!$D$79)+'Town forecast'!I42*MIN(I11*1*I38*I41*'Assumptions'!$D$78,'Assumptions'!$D$79)+'Town forecast'!I43*MIN(I11*I29*1*I41*'Assumptions'!$D$78,'Assumptions'!$D$79)+'Town forecast'!I44*MIN(I11*I29*I37*I41*'Assumptions'!$D$78,'Assumptions'!$D$79)+'Town forecast'!I45*MIN(I11*I29*I38*I41*'Assumptions'!$D$78,'Assumptions'!$D$79)+'Town forecast'!I46*MIN(I11*I30*1*I41*'Assumptions'!$D$78,'Assumptions'!$D$79)+'Town forecast'!I47*MIN(I11*I30*I37*I41*'Assumptions'!$D$78,'Assumptions'!$D$79)+'Town forecast'!I48*MIN(I11*I30*I38*I41*'Assumptions'!$D$78,'Assumptions'!$D$79)</x:f>
        <x:v>5</x:v>
      </x:c>
      <x:c r="J67" s="63" t="n">
        <x:f>'Town forecast'!J40*MIN(J11*1*1*J41*'Assumptions'!$D$78,'Assumptions'!$D$79)+'Town forecast'!J41*MIN(J11*1*J37*J41*'Assumptions'!$D$78,'Assumptions'!$D$79)+'Town forecast'!J42*MIN(J11*1*J38*J41*'Assumptions'!$D$78,'Assumptions'!$D$79)+'Town forecast'!J43*MIN(J11*J29*1*J41*'Assumptions'!$D$78,'Assumptions'!$D$79)+'Town forecast'!J44*MIN(J11*J29*J37*J41*'Assumptions'!$D$78,'Assumptions'!$D$79)+'Town forecast'!J45*MIN(J11*J29*J38*J41*'Assumptions'!$D$78,'Assumptions'!$D$79)+'Town forecast'!J46*MIN(J11*J30*1*J41*'Assumptions'!$D$78,'Assumptions'!$D$79)+'Town forecast'!J47*MIN(J11*J30*J37*J41*'Assumptions'!$D$78,'Assumptions'!$D$79)+'Town forecast'!J48*MIN(J11*J30*J38*J41*'Assumptions'!$D$78,'Assumptions'!$D$79)</x:f>
        <x:v>4.999999999999998</x:v>
      </x:c>
      <x:c r="K67" s="1"/>
      <x:c r="L67" s="1"/>
      <x:c r="M67" s="1"/>
    </x:row>
    <x:row r="68" ht="22" customHeight="1">
      <x:c r="A68" s="1"/>
      <x:c r="B68" s="1"/>
      <x:c r="C68" s="1"/>
      <x:c r="D68" s="6"/>
      <x:c r="E68" s="6"/>
      <x:c r="F68" s="6"/>
      <x:c r="G68" s="6"/>
      <x:c r="H68" s="6"/>
      <x:c r="I68" s="6"/>
      <x:c r="J68" s="6"/>
      <x:c r="K68" s="1"/>
      <x:c r="L68" s="1"/>
      <x:c r="M68" s="1"/>
    </x:row>
    <x:row r="69" ht="22" customHeight="1">
      <x:c r="A69" s="1"/>
      <x:c r="B69" s="1"/>
      <x:c r="C69" s="1" t="str">
        <x:v>Scheduled-job total check</x:v>
      </x:c>
      <x:c r="D69" s="55" t="n">
        <x:f>SUM(D51:D55)-D44</x:f>
        <x:v>3.552713678800501e-15</x:v>
      </x:c>
      <x:c r="E69" s="55" t="n">
        <x:f>SUM(E51:E55)-E44</x:f>
        <x:v>0</x:v>
      </x:c>
      <x:c r="F69" s="55" t="n">
        <x:f>SUM(F51:F55)-F44</x:f>
        <x:v>-3.552713678800501e-15</x:v>
      </x:c>
      <x:c r="G69" s="55" t="n">
        <x:f>SUM(G51:G55)-G44</x:f>
        <x:v>0</x:v>
      </x:c>
      <x:c r="H69" s="55" t="n">
        <x:f>SUM(H51:H55)-H44</x:f>
        <x:v>0</x:v>
      </x:c>
      <x:c r="I69" s="55" t="n">
        <x:f>SUM(I51:I55)-I44</x:f>
        <x:v>0</x:v>
      </x:c>
      <x:c r="J69" s="55" t="n">
        <x:f>SUM(J51:J55)-J44</x:f>
        <x:v>0</x:v>
      </x:c>
      <x:c r="K69" s="1"/>
      <x:c r="L69" s="1"/>
      <x:c r="M69" s="1"/>
    </x:row>
    <x:row r="70" ht="22" customHeight="1">
      <x:c r="A70" s="1"/>
      <x:c r="B70" s="1"/>
      <x:c r="C70" s="1" t="str">
        <x:v>Neighborhood / property mix check</x:v>
      </x:c>
      <x:c r="D70" s="55" t="n">
        <x:f>SUM(D26:D28)+SUM(D34:D36)-2</x:f>
        <x:v>0</x:v>
      </x:c>
      <x:c r="E70" s="55" t="n">
        <x:f>SUM(E26:E28)+SUM(E34:E36)-2</x:f>
        <x:v>0</x:v>
      </x:c>
      <x:c r="F70" s="55" t="n">
        <x:f>SUM(F26:F28)+SUM(F34:F36)-2</x:f>
        <x:v>0</x:v>
      </x:c>
      <x:c r="G70" s="55" t="n">
        <x:f>SUM(G26:G28)+SUM(G34:G36)-2</x:f>
        <x:v>0</x:v>
      </x:c>
      <x:c r="H70" s="55" t="n">
        <x:f>SUM(H26:H28)+SUM(H34:H36)-2</x:f>
        <x:v>0</x:v>
      </x:c>
      <x:c r="I70" s="55" t="n">
        <x:f>SUM(I26:I28)+SUM(I34:I36)-2</x:f>
        <x:v>0</x:v>
      </x:c>
      <x:c r="J70" s="55" t="n">
        <x:f>SUM(J26:J28)+SUM(J34:J36)-2</x:f>
        <x:v>0</x:v>
      </x:c>
      <x:c r="K70" s="1"/>
      <x:c r="L70" s="1"/>
      <x:c r="M70" s="1"/>
    </x:row>
    <x:row r="71" ht="22" customHeight="1">
      <x:c r="A71" s="1"/>
      <x:c r="B71" s="1"/>
      <x:c r="C71" s="1"/>
      <x:c r="D71" s="6"/>
      <x:c r="E71" s="6"/>
      <x:c r="F71" s="6"/>
      <x:c r="G71" s="6"/>
      <x:c r="H71" s="6"/>
      <x:c r="I71" s="6"/>
      <x:c r="J71" s="6"/>
      <x:c r="K71" s="1"/>
      <x:c r="L71" s="1"/>
      <x:c r="M71" s="1"/>
    </x:row>
    <x:row r="72" ht="22" customHeight="1">
      <x:c r="A72" s="1"/>
      <x:c r="B72" s="1"/>
      <x:c r="C72" s="1"/>
      <x:c r="D72" s="6"/>
      <x:c r="E72" s="6"/>
      <x:c r="F72" s="6"/>
      <x:c r="G72" s="6"/>
      <x:c r="H72" s="6"/>
      <x:c r="I72" s="6"/>
      <x:c r="J72" s="6"/>
      <x:c r="K72" s="1"/>
      <x:c r="L72" s="1"/>
      <x:c r="M72" s="1"/>
    </x:row>
    <x:row r="73" ht="22" customHeight="1">
      <x:c r="A73" s="1"/>
      <x:c r="B73" s="1"/>
      <x:c r="C73" s="32" t="str">
        <x:v>Planning assumptions only, September 2026. $60 basic mowing starts the price ladder. Prices include materials in the total service bill. Replace estimates with provider quotes. Finder fees are $75 / $110 / $150 by property scope. YardMatch charges no recurring service fee.</x:v>
      </x:c>
      <x:c r="D73" s="33"/>
      <x:c r="E73" s="33"/>
      <x:c r="F73" s="33"/>
      <x:c r="G73" s="33"/>
      <x:c r="H73" s="33"/>
      <x:c r="I73" s="33"/>
      <x:c r="J73" s="33"/>
      <x:c r="K73" s="1"/>
      <x:c r="L73" s="1"/>
      <x:c r="M73" s="1"/>
    </x:row>
    <x:row r="74" ht="22" customHeight="1">
      <x:c r="A74" s="1"/>
      <x:c r="B74" s="1"/>
      <x:c r="C74" s="32"/>
      <x:c r="D74" s="33"/>
      <x:c r="E74" s="33"/>
      <x:c r="F74" s="33"/>
      <x:c r="G74" s="33"/>
      <x:c r="H74" s="33"/>
      <x:c r="I74" s="33"/>
      <x:c r="J74" s="33"/>
      <x:c r="K74" s="1"/>
      <x:c r="L74" s="1"/>
      <x:c r="M74" s="1"/>
    </x:row>
    <x:row r="75" ht="22" customHeight="1">
      <x:c r="A75" s="1"/>
      <x:c r="B75" s="1"/>
      <x:c r="C75" s="1"/>
      <x:c r="D75" s="6"/>
      <x:c r="E75" s="6"/>
      <x:c r="F75" s="6"/>
      <x:c r="G75" s="6"/>
      <x:c r="H75" s="6"/>
      <x:c r="I75" s="6"/>
      <x:c r="J75" s="6"/>
      <x:c r="K75" s="1"/>
      <x:c r="L75" s="1"/>
      <x:c r="M75" s="1"/>
    </x:row>
    <x:row r="76" ht="22" customHeight="1">
      <x:c r="A76" s="1"/>
      <x:c r="B76" s="1"/>
      <x:c r="C76" s="32" t="str">
        <x:v>Maintenance shares split existing visits. A bundle is one service. Projects add separate visits, not additional finder fees. A 0.60 project frequency means 0.60 scheduled jobs per full-season household-year. Customers pay providers directly.</x:v>
      </x:c>
      <x:c r="D76" s="33"/>
      <x:c r="E76" s="33"/>
      <x:c r="F76" s="33"/>
      <x:c r="G76" s="33"/>
      <x:c r="H76" s="33"/>
      <x:c r="I76" s="33"/>
      <x:c r="J76" s="33"/>
      <x:c r="K76" s="1"/>
      <x:c r="L76" s="1"/>
      <x:c r="M76" s="1"/>
    </x:row>
    <x:row r="77" ht="22" customHeight="1">
      <x:c r="A77" s="1"/>
      <x:c r="B77" s="1"/>
      <x:c r="C77" s="32"/>
      <x:c r="D77" s="33"/>
      <x:c r="E77" s="33"/>
      <x:c r="F77" s="33"/>
      <x:c r="G77" s="33"/>
      <x:c r="H77" s="33"/>
      <x:c r="I77" s="33"/>
      <x:c r="J77" s="33"/>
      <x:c r="K77" s="1"/>
      <x:c r="L77" s="1"/>
      <x:c r="M77" s="1"/>
    </x:row>
    <x:row r="78" ht="22" customHeight="1">
      <x:c r="A78" s="1"/>
      <x:c r="B78" s="1"/>
      <x:c r="C78" s="1"/>
      <x:c r="D78" s="6"/>
      <x:c r="E78" s="6"/>
      <x:c r="F78" s="6"/>
      <x:c r="G78" s="6"/>
      <x:c r="H78" s="6"/>
      <x:c r="I78" s="6"/>
      <x:c r="J78" s="6"/>
      <x:c r="K78" s="1"/>
      <x:c r="L78" s="1"/>
      <x:c r="M78" s="1"/>
    </x:row>
    <x:row r="79" ht="22" customHeight="1">
      <x:c r="A79" s="1"/>
      <x:c r="B79" s="1"/>
      <x:c r="C79" s="32" t="str">
        <x:v>The detailed New Jersey launch mix supplies a conservative price and property proxy for the national cohort forecast. Income and yard-size assumptions are not counted as independent growth uplifts. Quote distribution and service-specific capacity still need validation in each new metro. Card and ACH rows are reference costs only and do not enter the selected YardMatch forecast.</x:v>
      </x:c>
      <x:c r="D79" s="33"/>
      <x:c r="E79" s="33"/>
      <x:c r="F79" s="33"/>
      <x:c r="G79" s="33"/>
      <x:c r="H79" s="33"/>
      <x:c r="I79" s="33"/>
      <x:c r="J79" s="33"/>
      <x:c r="K79" s="1"/>
      <x:c r="L79" s="1"/>
      <x:c r="M79" s="1"/>
    </x:row>
    <x:row r="80" ht="22" customHeight="1">
      <x:c r="A80" s="1"/>
      <x:c r="B80" s="1"/>
      <x:c r="C80" s="32"/>
      <x:c r="D80" s="33"/>
      <x:c r="E80" s="33"/>
      <x:c r="F80" s="33"/>
      <x:c r="G80" s="33"/>
      <x:c r="H80" s="33"/>
      <x:c r="I80" s="33"/>
      <x:c r="J80" s="33"/>
      <x:c r="K80" s="1"/>
      <x:c r="L80" s="1"/>
      <x:c r="M80" s="1"/>
    </x:row>
    <x:row r="81" ht="22" customHeight="1">
      <x:c r="A81" s="1"/>
      <x:c r="B81" s="1"/>
      <x:c r="C81" s="1"/>
      <x:c r="D81" s="6"/>
      <x:c r="E81" s="6"/>
      <x:c r="F81" s="6"/>
      <x:c r="G81" s="6"/>
      <x:c r="H81" s="6"/>
      <x:c r="I81" s="6"/>
      <x:c r="J81" s="6"/>
      <x:c r="K81" s="1"/>
      <x:c r="L81" s="1"/>
      <x:c r="M81" s="1"/>
    </x:row>
    <x:row r="82" ht="22" customHeight="1">
      <x:c r="A82" s="1"/>
      <x:c r="B82" s="1"/>
      <x:c r="C82" s="1"/>
      <x:c r="D82" s="6"/>
      <x:c r="E82" s="6"/>
      <x:c r="F82" s="6"/>
      <x:c r="G82" s="6"/>
      <x:c r="H82" s="6"/>
      <x:c r="I82" s="6"/>
      <x:c r="J82" s="6"/>
      <x:c r="K82" s="1"/>
      <x:c r="L82" s="1"/>
      <x:c r="M82" s="1"/>
    </x:row>
    <x:row r="83" ht="22" customHeight="1">
      <x:c r="A83" s="1"/>
      <x:c r="B83" s="1"/>
      <x:c r="C83" s="1"/>
      <x:c r="D83" s="6"/>
      <x:c r="E83" s="6"/>
      <x:c r="F83" s="6"/>
      <x:c r="G83" s="6"/>
      <x:c r="H83" s="6"/>
      <x:c r="I83" s="6"/>
      <x:c r="J83" s="6"/>
      <x:c r="K83" s="1"/>
      <x:c r="L83" s="1"/>
      <x:c r="M83" s="1"/>
    </x:row>
    <x:row r="84" ht="22" customHeight="1">
      <x:c r="A84" s="1"/>
      <x:c r="B84" s="1"/>
      <x:c r="C84" s="5" t="str">
        <x:v>Selected platform fee and reference processing</x:v>
      </x:c>
      <x:c r="D84" s="26"/>
      <x:c r="E84" s="26"/>
      <x:c r="F84" s="26"/>
      <x:c r="G84" s="26"/>
      <x:c r="H84" s="26"/>
      <x:c r="I84" s="26"/>
      <x:c r="J84" s="26"/>
      <x:c r="K84" s="1"/>
      <x:c r="L84" s="1"/>
      <x:c r="M84" s="1"/>
    </x:row>
    <x:row r="85" ht="22" customHeight="1">
      <x:c r="A85" s="1"/>
      <x:c r="B85" s="1"/>
      <x:c r="C85" s="1" t="str">
        <x:v>Weighted YardMatch service fee</x:v>
      </x:c>
      <x:c r="D85" s="63" t="n">
        <x:f>D87*(1-'Assumptions'!D37)+D88*'Assumptions'!D37</x:f>
        <x:v>0</x:v>
      </x:c>
      <x:c r="E85" s="63" t="n">
        <x:f>E87*(1-'Assumptions'!E37)+E88*'Assumptions'!E37</x:f>
        <x:v>0</x:v>
      </x:c>
      <x:c r="F85" s="63" t="n">
        <x:f>F87*(1-'Assumptions'!F37)+F88*'Assumptions'!F37</x:f>
        <x:v>0</x:v>
      </x:c>
      <x:c r="G85" s="63" t="n">
        <x:f>G87*(1-'Assumptions'!G37)+G88*'Assumptions'!G37</x:f>
        <x:v>0</x:v>
      </x:c>
      <x:c r="H85" s="63" t="n">
        <x:f>H87*(1-'Assumptions'!H37)+H88*'Assumptions'!H37</x:f>
        <x:v>0</x:v>
      </x:c>
      <x:c r="I85" s="63" t="n">
        <x:f>I87*(1-'Assumptions'!I37)+I88*'Assumptions'!I37</x:f>
        <x:v>0</x:v>
      </x:c>
      <x:c r="J85" s="63" t="n">
        <x:f>J87*(1-'Assumptions'!J37)+J88*'Assumptions'!J37</x:f>
        <x:v>0</x:v>
      </x:c>
      <x:c r="K85" s="1"/>
      <x:c r="L85" s="1"/>
      <x:c r="M85" s="1"/>
    </x:row>
    <x:row r="86" ht="22" customHeight="1">
      <x:c r="A86" s="1"/>
      <x:c r="B86" s="1"/>
      <x:c r="C86" s="1" t="str">
        <x:v>Reference ACH cost per transaction</x:v>
      </x:c>
      <x:c r="D86" s="63" t="n">
        <x:f>D51/D44*'Town forecast'!D40*MIN(D7*1*1*D41*'Payments'!D24+'Payments'!D25,'Payments'!D26)+D51/D44*'Town forecast'!D41*MIN(D7*1*D37*D41*'Payments'!D24+'Payments'!D25,'Payments'!D26)+D51/D44*'Town forecast'!D42*MIN(D7*1*D38*D41*'Payments'!D24+'Payments'!D25,'Payments'!D26)+D51/D44*'Town forecast'!D43*MIN(D7*D29*1*D41*'Payments'!D24+'Payments'!D25,'Payments'!D26)+D51/D44*'Town forecast'!D44*MIN(D7*D29*D37*D41*'Payments'!D24+'Payments'!D25,'Payments'!D26)+D51/D44*'Town forecast'!D45*MIN(D7*D29*D38*D41*'Payments'!D24+'Payments'!D25,'Payments'!D26)+D51/D44*'Town forecast'!D46*MIN(D7*D30*1*D41*'Payments'!D24+'Payments'!D25,'Payments'!D26)+D51/D44*'Town forecast'!D47*MIN(D7*D30*D37*D41*'Payments'!D24+'Payments'!D25,'Payments'!D26)+D51/D44*'Town forecast'!D48*MIN(D7*D30*D38*D41*'Payments'!D24+'Payments'!D25,'Payments'!D26)+D52/D44*'Town forecast'!D40*MIN(D8*1*1*D41*'Payments'!D24+'Payments'!D25,'Payments'!D26)+D52/D44*'Town forecast'!D41*MIN(D8*1*D37*D41*'Payments'!D24+'Payments'!D25,'Payments'!D26)+D52/D44*'Town forecast'!D42*MIN(D8*1*D38*D41*'Payments'!D24+'Payments'!D25,'Payments'!D26)+D52/D44*'Town forecast'!D43*MIN(D8*D29*1*D41*'Payments'!D24+'Payments'!D25,'Payments'!D26)+D52/D44*'Town forecast'!D44*MIN(D8*D29*D37*D41*'Payments'!D24+'Payments'!D25,'Payments'!D26)+D52/D44*'Town forecast'!D45*MIN(D8*D29*D38*D41*'Payments'!D24+'Payments'!D25,'Payments'!D26)+D52/D44*'Town forecast'!D46*MIN(D8*D30*1*D41*'Payments'!D24+'Payments'!D25,'Payments'!D26)+D52/D44*'Town forecast'!D47*MIN(D8*D30*D37*D41*'Payments'!D24+'Payments'!D25,'Payments'!D26)+D52/D44*'Town forecast'!D48*MIN(D8*D30*D38*D41*'Payments'!D24+'Payments'!D25,'Payments'!D26)+D53/D44*'Town forecast'!D40*MIN(D9*1*1*D41*'Payments'!D24+'Payments'!D25,'Payments'!D26)+D53/D44*'Town forecast'!D41*MIN(D9*1*D37*D41*'Payments'!D24+'Payments'!D25,'Payments'!D26)+D53/D44*'Town forecast'!D42*MIN(D9*1*D38*D41*'Payments'!D24+'Payments'!D25,'Payments'!D26)+D53/D44*'Town forecast'!D43*MIN(D9*D29*1*D41*'Payments'!D24+'Payments'!D25,'Payments'!D26)+D53/D44*'Town forecast'!D44*MIN(D9*D29*D37*D41*'Payments'!D24+'Payments'!D25,'Payments'!D26)+D53/D44*'Town forecast'!D45*MIN(D9*D29*D38*D41*'Payments'!D24+'Payments'!D25,'Payments'!D26)+D53/D44*'Town forecast'!D46*MIN(D9*D30*1*D41*'Payments'!D24+'Payments'!D25,'Payments'!D26)+D53/D44*'Town forecast'!D47*MIN(D9*D30*D37*D41*'Payments'!D24+'Payments'!D25,'Payments'!D26)+D53/D44*'Town forecast'!D48*MIN(D9*D30*D38*D41*'Payments'!D24+'Payments'!D25,'Payments'!D26)+D54/D44*'Town forecast'!D40*MIN(D10*1*1*D41*'Payments'!D24+'Payments'!D25,'Payments'!D26)+D54/D44*'Town forecast'!D41*MIN(D10*1*D37*D41*'Payments'!D24+'Payments'!D25,'Payments'!D26)+D54/D44*'Town forecast'!D42*MIN(D10*1*D38*D41*'Payments'!D24+'Payments'!D25,'Payments'!D26)+D54/D44*'Town forecast'!D43*MIN(D10*D29*1*D41*'Payments'!D24+'Payments'!D25,'Payments'!D26)+D54/D44*'Town forecast'!D44*MIN(D10*D29*D37*D41*'Payments'!D24+'Payments'!D25,'Payments'!D26)+D54/D44*'Town forecast'!D45*MIN(D10*D29*D38*D41*'Payments'!D24+'Payments'!D25,'Payments'!D26)+D54/D44*'Town forecast'!D46*MIN(D10*D30*1*D41*'Payments'!D24+'Payments'!D25,'Payments'!D26)+D54/D44*'Town forecast'!D47*MIN(D10*D30*D37*D41*'Payments'!D24+'Payments'!D25,'Payments'!D26)+D54/D44*'Town forecast'!D48*MIN(D10*D30*D38*D41*'Payments'!D24+'Payments'!D25,'Payments'!D26)+D55/D44*'Town forecast'!D40*MIN(D11*1*1*D41*'Payments'!D24+'Payments'!D25,'Payments'!D26)+D55/D44*'Town forecast'!D41*MIN(D11*1*D37*D41*'Payments'!D24+'Payments'!D25,'Payments'!D26)+D55/D44*'Town forecast'!D42*MIN(D11*1*D38*D41*'Payments'!D24+'Payments'!D25,'Payments'!D26)+D55/D44*'Town forecast'!D43*MIN(D11*D29*1*D41*'Payments'!D24+'Payments'!D25,'Payments'!D26)+D55/D44*'Town forecast'!D44*MIN(D11*D29*D37*D41*'Payments'!D24+'Payments'!D25,'Payments'!D26)+D55/D44*'Town forecast'!D45*MIN(D11*D29*D38*D41*'Payments'!D24+'Payments'!D25,'Payments'!D26)+D55/D44*'Town forecast'!D46*MIN(D11*D30*1*D41*'Payments'!D24+'Payments'!D25,'Payments'!D26)+D55/D44*'Town forecast'!D47*MIN(D11*D30*D37*D41*'Payments'!D24+'Payments'!D25,'Payments'!D26)+D55/D44*'Town forecast'!D48*MIN(D11*D30*D38*D41*'Payments'!D24+'Payments'!D25,'Payments'!D26)</x:f>
        <x:v>0.7286960736791079</x:v>
      </x:c>
      <x:c r="E86" s="63" t="n">
        <x:f>E51/E44*'Town forecast'!E40*MIN(E7*1*1*E41*'Payments'!E24+'Payments'!E25,'Payments'!E26)+E51/E44*'Town forecast'!E41*MIN(E7*1*E37*E41*'Payments'!E24+'Payments'!E25,'Payments'!E26)+E51/E44*'Town forecast'!E42*MIN(E7*1*E38*E41*'Payments'!E24+'Payments'!E25,'Payments'!E26)+E51/E44*'Town forecast'!E43*MIN(E7*E29*1*E41*'Payments'!E24+'Payments'!E25,'Payments'!E26)+E51/E44*'Town forecast'!E44*MIN(E7*E29*E37*E41*'Payments'!E24+'Payments'!E25,'Payments'!E26)+E51/E44*'Town forecast'!E45*MIN(E7*E29*E38*E41*'Payments'!E24+'Payments'!E25,'Payments'!E26)+E51/E44*'Town forecast'!E46*MIN(E7*E30*1*E41*'Payments'!E24+'Payments'!E25,'Payments'!E26)+E51/E44*'Town forecast'!E47*MIN(E7*E30*E37*E41*'Payments'!E24+'Payments'!E25,'Payments'!E26)+E51/E44*'Town forecast'!E48*MIN(E7*E30*E38*E41*'Payments'!E24+'Payments'!E25,'Payments'!E26)+E52/E44*'Town forecast'!E40*MIN(E8*1*1*E41*'Payments'!E24+'Payments'!E25,'Payments'!E26)+E52/E44*'Town forecast'!E41*MIN(E8*1*E37*E41*'Payments'!E24+'Payments'!E25,'Payments'!E26)+E52/E44*'Town forecast'!E42*MIN(E8*1*E38*E41*'Payments'!E24+'Payments'!E25,'Payments'!E26)+E52/E44*'Town forecast'!E43*MIN(E8*E29*1*E41*'Payments'!E24+'Payments'!E25,'Payments'!E26)+E52/E44*'Town forecast'!E44*MIN(E8*E29*E37*E41*'Payments'!E24+'Payments'!E25,'Payments'!E26)+E52/E44*'Town forecast'!E45*MIN(E8*E29*E38*E41*'Payments'!E24+'Payments'!E25,'Payments'!E26)+E52/E44*'Town forecast'!E46*MIN(E8*E30*1*E41*'Payments'!E24+'Payments'!E25,'Payments'!E26)+E52/E44*'Town forecast'!E47*MIN(E8*E30*E37*E41*'Payments'!E24+'Payments'!E25,'Payments'!E26)+E52/E44*'Town forecast'!E48*MIN(E8*E30*E38*E41*'Payments'!E24+'Payments'!E25,'Payments'!E26)+E53/E44*'Town forecast'!E40*MIN(E9*1*1*E41*'Payments'!E24+'Payments'!E25,'Payments'!E26)+E53/E44*'Town forecast'!E41*MIN(E9*1*E37*E41*'Payments'!E24+'Payments'!E25,'Payments'!E26)+E53/E44*'Town forecast'!E42*MIN(E9*1*E38*E41*'Payments'!E24+'Payments'!E25,'Payments'!E26)+E53/E44*'Town forecast'!E43*MIN(E9*E29*1*E41*'Payments'!E24+'Payments'!E25,'Payments'!E26)+E53/E44*'Town forecast'!E44*MIN(E9*E29*E37*E41*'Payments'!E24+'Payments'!E25,'Payments'!E26)+E53/E44*'Town forecast'!E45*MIN(E9*E29*E38*E41*'Payments'!E24+'Payments'!E25,'Payments'!E26)+E53/E44*'Town forecast'!E46*MIN(E9*E30*1*E41*'Payments'!E24+'Payments'!E25,'Payments'!E26)+E53/E44*'Town forecast'!E47*MIN(E9*E30*E37*E41*'Payments'!E24+'Payments'!E25,'Payments'!E26)+E53/E44*'Town forecast'!E48*MIN(E9*E30*E38*E41*'Payments'!E24+'Payments'!E25,'Payments'!E26)+E54/E44*'Town forecast'!E40*MIN(E10*1*1*E41*'Payments'!E24+'Payments'!E25,'Payments'!E26)+E54/E44*'Town forecast'!E41*MIN(E10*1*E37*E41*'Payments'!E24+'Payments'!E25,'Payments'!E26)+E54/E44*'Town forecast'!E42*MIN(E10*1*E38*E41*'Payments'!E24+'Payments'!E25,'Payments'!E26)+E54/E44*'Town forecast'!E43*MIN(E10*E29*1*E41*'Payments'!E24+'Payments'!E25,'Payments'!E26)+E54/E44*'Town forecast'!E44*MIN(E10*E29*E37*E41*'Payments'!E24+'Payments'!E25,'Payments'!E26)+E54/E44*'Town forecast'!E45*MIN(E10*E29*E38*E41*'Payments'!E24+'Payments'!E25,'Payments'!E26)+E54/E44*'Town forecast'!E46*MIN(E10*E30*1*E41*'Payments'!E24+'Payments'!E25,'Payments'!E26)+E54/E44*'Town forecast'!E47*MIN(E10*E30*E37*E41*'Payments'!E24+'Payments'!E25,'Payments'!E26)+E54/E44*'Town forecast'!E48*MIN(E10*E30*E38*E41*'Payments'!E24+'Payments'!E25,'Payments'!E26)+E55/E44*'Town forecast'!E40*MIN(E11*1*1*E41*'Payments'!E24+'Payments'!E25,'Payments'!E26)+E55/E44*'Town forecast'!E41*MIN(E11*1*E37*E41*'Payments'!E24+'Payments'!E25,'Payments'!E26)+E55/E44*'Town forecast'!E42*MIN(E11*1*E38*E41*'Payments'!E24+'Payments'!E25,'Payments'!E26)+E55/E44*'Town forecast'!E43*MIN(E11*E29*1*E41*'Payments'!E24+'Payments'!E25,'Payments'!E26)+E55/E44*'Town forecast'!E44*MIN(E11*E29*E37*E41*'Payments'!E24+'Payments'!E25,'Payments'!E26)+E55/E44*'Town forecast'!E45*MIN(E11*E29*E38*E41*'Payments'!E24+'Payments'!E25,'Payments'!E26)+E55/E44*'Town forecast'!E46*MIN(E11*E30*1*E41*'Payments'!E24+'Payments'!E25,'Payments'!E26)+E55/E44*'Town forecast'!E47*MIN(E11*E30*E37*E41*'Payments'!E24+'Payments'!E25,'Payments'!E26)+E55/E44*'Town forecast'!E48*MIN(E11*E30*E38*E41*'Payments'!E24+'Payments'!E25,'Payments'!E26)</x:f>
        <x:v>0.8009298459958766</x:v>
      </x:c>
      <x:c r="F86" s="63" t="n">
        <x:f>F51/F44*'Town forecast'!F40*MIN(F7*1*1*F41*'Payments'!F24+'Payments'!F25,'Payments'!F26)+F51/F44*'Town forecast'!F41*MIN(F7*1*F37*F41*'Payments'!F24+'Payments'!F25,'Payments'!F26)+F51/F44*'Town forecast'!F42*MIN(F7*1*F38*F41*'Payments'!F24+'Payments'!F25,'Payments'!F26)+F51/F44*'Town forecast'!F43*MIN(F7*F29*1*F41*'Payments'!F24+'Payments'!F25,'Payments'!F26)+F51/F44*'Town forecast'!F44*MIN(F7*F29*F37*F41*'Payments'!F24+'Payments'!F25,'Payments'!F26)+F51/F44*'Town forecast'!F45*MIN(F7*F29*F38*F41*'Payments'!F24+'Payments'!F25,'Payments'!F26)+F51/F44*'Town forecast'!F46*MIN(F7*F30*1*F41*'Payments'!F24+'Payments'!F25,'Payments'!F26)+F51/F44*'Town forecast'!F47*MIN(F7*F30*F37*F41*'Payments'!F24+'Payments'!F25,'Payments'!F26)+F51/F44*'Town forecast'!F48*MIN(F7*F30*F38*F41*'Payments'!F24+'Payments'!F25,'Payments'!F26)+F52/F44*'Town forecast'!F40*MIN(F8*1*1*F41*'Payments'!F24+'Payments'!F25,'Payments'!F26)+F52/F44*'Town forecast'!F41*MIN(F8*1*F37*F41*'Payments'!F24+'Payments'!F25,'Payments'!F26)+F52/F44*'Town forecast'!F42*MIN(F8*1*F38*F41*'Payments'!F24+'Payments'!F25,'Payments'!F26)+F52/F44*'Town forecast'!F43*MIN(F8*F29*1*F41*'Payments'!F24+'Payments'!F25,'Payments'!F26)+F52/F44*'Town forecast'!F44*MIN(F8*F29*F37*F41*'Payments'!F24+'Payments'!F25,'Payments'!F26)+F52/F44*'Town forecast'!F45*MIN(F8*F29*F38*F41*'Payments'!F24+'Payments'!F25,'Payments'!F26)+F52/F44*'Town forecast'!F46*MIN(F8*F30*1*F41*'Payments'!F24+'Payments'!F25,'Payments'!F26)+F52/F44*'Town forecast'!F47*MIN(F8*F30*F37*F41*'Payments'!F24+'Payments'!F25,'Payments'!F26)+F52/F44*'Town forecast'!F48*MIN(F8*F30*F38*F41*'Payments'!F24+'Payments'!F25,'Payments'!F26)+F53/F44*'Town forecast'!F40*MIN(F9*1*1*F41*'Payments'!F24+'Payments'!F25,'Payments'!F26)+F53/F44*'Town forecast'!F41*MIN(F9*1*F37*F41*'Payments'!F24+'Payments'!F25,'Payments'!F26)+F53/F44*'Town forecast'!F42*MIN(F9*1*F38*F41*'Payments'!F24+'Payments'!F25,'Payments'!F26)+F53/F44*'Town forecast'!F43*MIN(F9*F29*1*F41*'Payments'!F24+'Payments'!F25,'Payments'!F26)+F53/F44*'Town forecast'!F44*MIN(F9*F29*F37*F41*'Payments'!F24+'Payments'!F25,'Payments'!F26)+F53/F44*'Town forecast'!F45*MIN(F9*F29*F38*F41*'Payments'!F24+'Payments'!F25,'Payments'!F26)+F53/F44*'Town forecast'!F46*MIN(F9*F30*1*F41*'Payments'!F24+'Payments'!F25,'Payments'!F26)+F53/F44*'Town forecast'!F47*MIN(F9*F30*F37*F41*'Payments'!F24+'Payments'!F25,'Payments'!F26)+F53/F44*'Town forecast'!F48*MIN(F9*F30*F38*F41*'Payments'!F24+'Payments'!F25,'Payments'!F26)+F54/F44*'Town forecast'!F40*MIN(F10*1*1*F41*'Payments'!F24+'Payments'!F25,'Payments'!F26)+F54/F44*'Town forecast'!F41*MIN(F10*1*F37*F41*'Payments'!F24+'Payments'!F25,'Payments'!F26)+F54/F44*'Town forecast'!F42*MIN(F10*1*F38*F41*'Payments'!F24+'Payments'!F25,'Payments'!F26)+F54/F44*'Town forecast'!F43*MIN(F10*F29*1*F41*'Payments'!F24+'Payments'!F25,'Payments'!F26)+F54/F44*'Town forecast'!F44*MIN(F10*F29*F37*F41*'Payments'!F24+'Payments'!F25,'Payments'!F26)+F54/F44*'Town forecast'!F45*MIN(F10*F29*F38*F41*'Payments'!F24+'Payments'!F25,'Payments'!F26)+F54/F44*'Town forecast'!F46*MIN(F10*F30*1*F41*'Payments'!F24+'Payments'!F25,'Payments'!F26)+F54/F44*'Town forecast'!F47*MIN(F10*F30*F37*F41*'Payments'!F24+'Payments'!F25,'Payments'!F26)+F54/F44*'Town forecast'!F48*MIN(F10*F30*F38*F41*'Payments'!F24+'Payments'!F25,'Payments'!F26)+F55/F44*'Town forecast'!F40*MIN(F11*1*1*F41*'Payments'!F24+'Payments'!F25,'Payments'!F26)+F55/F44*'Town forecast'!F41*MIN(F11*1*F37*F41*'Payments'!F24+'Payments'!F25,'Payments'!F26)+F55/F44*'Town forecast'!F42*MIN(F11*1*F38*F41*'Payments'!F24+'Payments'!F25,'Payments'!F26)+F55/F44*'Town forecast'!F43*MIN(F11*F29*1*F41*'Payments'!F24+'Payments'!F25,'Payments'!F26)+F55/F44*'Town forecast'!F44*MIN(F11*F29*F37*F41*'Payments'!F24+'Payments'!F25,'Payments'!F26)+F55/F44*'Town forecast'!F45*MIN(F11*F29*F38*F41*'Payments'!F24+'Payments'!F25,'Payments'!F26)+F55/F44*'Town forecast'!F46*MIN(F11*F30*1*F41*'Payments'!F24+'Payments'!F25,'Payments'!F26)+F55/F44*'Town forecast'!F47*MIN(F11*F30*F37*F41*'Payments'!F24+'Payments'!F25,'Payments'!F26)+F55/F44*'Town forecast'!F48*MIN(F11*F30*F38*F41*'Payments'!F24+'Payments'!F25,'Payments'!F26)</x:f>
        <x:v>0.836400763183906</x:v>
      </x:c>
      <x:c r="G86" s="63" t="n">
        <x:f>G51/G44*'Town forecast'!G40*MIN(G7*1*1*G41*'Payments'!G24+'Payments'!G25,'Payments'!G26)+G51/G44*'Town forecast'!G41*MIN(G7*1*G37*G41*'Payments'!G24+'Payments'!G25,'Payments'!G26)+G51/G44*'Town forecast'!G42*MIN(G7*1*G38*G41*'Payments'!G24+'Payments'!G25,'Payments'!G26)+G51/G44*'Town forecast'!G43*MIN(G7*G29*1*G41*'Payments'!G24+'Payments'!G25,'Payments'!G26)+G51/G44*'Town forecast'!G44*MIN(G7*G29*G37*G41*'Payments'!G24+'Payments'!G25,'Payments'!G26)+G51/G44*'Town forecast'!G45*MIN(G7*G29*G38*G41*'Payments'!G24+'Payments'!G25,'Payments'!G26)+G51/G44*'Town forecast'!G46*MIN(G7*G30*1*G41*'Payments'!G24+'Payments'!G25,'Payments'!G26)+G51/G44*'Town forecast'!G47*MIN(G7*G30*G37*G41*'Payments'!G24+'Payments'!G25,'Payments'!G26)+G51/G44*'Town forecast'!G48*MIN(G7*G30*G38*G41*'Payments'!G24+'Payments'!G25,'Payments'!G26)+G52/G44*'Town forecast'!G40*MIN(G8*1*1*G41*'Payments'!G24+'Payments'!G25,'Payments'!G26)+G52/G44*'Town forecast'!G41*MIN(G8*1*G37*G41*'Payments'!G24+'Payments'!G25,'Payments'!G26)+G52/G44*'Town forecast'!G42*MIN(G8*1*G38*G41*'Payments'!G24+'Payments'!G25,'Payments'!G26)+G52/G44*'Town forecast'!G43*MIN(G8*G29*1*G41*'Payments'!G24+'Payments'!G25,'Payments'!G26)+G52/G44*'Town forecast'!G44*MIN(G8*G29*G37*G41*'Payments'!G24+'Payments'!G25,'Payments'!G26)+G52/G44*'Town forecast'!G45*MIN(G8*G29*G38*G41*'Payments'!G24+'Payments'!G25,'Payments'!G26)+G52/G44*'Town forecast'!G46*MIN(G8*G30*1*G41*'Payments'!G24+'Payments'!G25,'Payments'!G26)+G52/G44*'Town forecast'!G47*MIN(G8*G30*G37*G41*'Payments'!G24+'Payments'!G25,'Payments'!G26)+G52/G44*'Town forecast'!G48*MIN(G8*G30*G38*G41*'Payments'!G24+'Payments'!G25,'Payments'!G26)+G53/G44*'Town forecast'!G40*MIN(G9*1*1*G41*'Payments'!G24+'Payments'!G25,'Payments'!G26)+G53/G44*'Town forecast'!G41*MIN(G9*1*G37*G41*'Payments'!G24+'Payments'!G25,'Payments'!G26)+G53/G44*'Town forecast'!G42*MIN(G9*1*G38*G41*'Payments'!G24+'Payments'!G25,'Payments'!G26)+G53/G44*'Town forecast'!G43*MIN(G9*G29*1*G41*'Payments'!G24+'Payments'!G25,'Payments'!G26)+G53/G44*'Town forecast'!G44*MIN(G9*G29*G37*G41*'Payments'!G24+'Payments'!G25,'Payments'!G26)+G53/G44*'Town forecast'!G45*MIN(G9*G29*G38*G41*'Payments'!G24+'Payments'!G25,'Payments'!G26)+G53/G44*'Town forecast'!G46*MIN(G9*G30*1*G41*'Payments'!G24+'Payments'!G25,'Payments'!G26)+G53/G44*'Town forecast'!G47*MIN(G9*G30*G37*G41*'Payments'!G24+'Payments'!G25,'Payments'!G26)+G53/G44*'Town forecast'!G48*MIN(G9*G30*G38*G41*'Payments'!G24+'Payments'!G25,'Payments'!G26)+G54/G44*'Town forecast'!G40*MIN(G10*1*1*G41*'Payments'!G24+'Payments'!G25,'Payments'!G26)+G54/G44*'Town forecast'!G41*MIN(G10*1*G37*G41*'Payments'!G24+'Payments'!G25,'Payments'!G26)+G54/G44*'Town forecast'!G42*MIN(G10*1*G38*G41*'Payments'!G24+'Payments'!G25,'Payments'!G26)+G54/G44*'Town forecast'!G43*MIN(G10*G29*1*G41*'Payments'!G24+'Payments'!G25,'Payments'!G26)+G54/G44*'Town forecast'!G44*MIN(G10*G29*G37*G41*'Payments'!G24+'Payments'!G25,'Payments'!G26)+G54/G44*'Town forecast'!G45*MIN(G10*G29*G38*G41*'Payments'!G24+'Payments'!G25,'Payments'!G26)+G54/G44*'Town forecast'!G46*MIN(G10*G30*1*G41*'Payments'!G24+'Payments'!G25,'Payments'!G26)+G54/G44*'Town forecast'!G47*MIN(G10*G30*G37*G41*'Payments'!G24+'Payments'!G25,'Payments'!G26)+G54/G44*'Town forecast'!G48*MIN(G10*G30*G38*G41*'Payments'!G24+'Payments'!G25,'Payments'!G26)+G55/G44*'Town forecast'!G40*MIN(G11*1*1*G41*'Payments'!G24+'Payments'!G25,'Payments'!G26)+G55/G44*'Town forecast'!G41*MIN(G11*1*G37*G41*'Payments'!G24+'Payments'!G25,'Payments'!G26)+G55/G44*'Town forecast'!G42*MIN(G11*1*G38*G41*'Payments'!G24+'Payments'!G25,'Payments'!G26)+G55/G44*'Town forecast'!G43*MIN(G11*G29*1*G41*'Payments'!G24+'Payments'!G25,'Payments'!G26)+G55/G44*'Town forecast'!G44*MIN(G11*G29*G37*G41*'Payments'!G24+'Payments'!G25,'Payments'!G26)+G55/G44*'Town forecast'!G45*MIN(G11*G29*G38*G41*'Payments'!G24+'Payments'!G25,'Payments'!G26)+G55/G44*'Town forecast'!G46*MIN(G11*G30*1*G41*'Payments'!G24+'Payments'!G25,'Payments'!G26)+G55/G44*'Town forecast'!G47*MIN(G11*G30*G37*G41*'Payments'!G24+'Payments'!G25,'Payments'!G26)+G55/G44*'Town forecast'!G48*MIN(G11*G30*G38*G41*'Payments'!G24+'Payments'!G25,'Payments'!G26)</x:f>
        <x:v>0.8841126825557101</x:v>
      </x:c>
      <x:c r="H86" s="63" t="n">
        <x:f>H51/H44*'Town forecast'!H40*MIN(H7*1*1*H41*'Payments'!H24+'Payments'!H25,'Payments'!H26)+H51/H44*'Town forecast'!H41*MIN(H7*1*H37*H41*'Payments'!H24+'Payments'!H25,'Payments'!H26)+H51/H44*'Town forecast'!H42*MIN(H7*1*H38*H41*'Payments'!H24+'Payments'!H25,'Payments'!H26)+H51/H44*'Town forecast'!H43*MIN(H7*H29*1*H41*'Payments'!H24+'Payments'!H25,'Payments'!H26)+H51/H44*'Town forecast'!H44*MIN(H7*H29*H37*H41*'Payments'!H24+'Payments'!H25,'Payments'!H26)+H51/H44*'Town forecast'!H45*MIN(H7*H29*H38*H41*'Payments'!H24+'Payments'!H25,'Payments'!H26)+H51/H44*'Town forecast'!H46*MIN(H7*H30*1*H41*'Payments'!H24+'Payments'!H25,'Payments'!H26)+H51/H44*'Town forecast'!H47*MIN(H7*H30*H37*H41*'Payments'!H24+'Payments'!H25,'Payments'!H26)+H51/H44*'Town forecast'!H48*MIN(H7*H30*H38*H41*'Payments'!H24+'Payments'!H25,'Payments'!H26)+H52/H44*'Town forecast'!H40*MIN(H8*1*1*H41*'Payments'!H24+'Payments'!H25,'Payments'!H26)+H52/H44*'Town forecast'!H41*MIN(H8*1*H37*H41*'Payments'!H24+'Payments'!H25,'Payments'!H26)+H52/H44*'Town forecast'!H42*MIN(H8*1*H38*H41*'Payments'!H24+'Payments'!H25,'Payments'!H26)+H52/H44*'Town forecast'!H43*MIN(H8*H29*1*H41*'Payments'!H24+'Payments'!H25,'Payments'!H26)+H52/H44*'Town forecast'!H44*MIN(H8*H29*H37*H41*'Payments'!H24+'Payments'!H25,'Payments'!H26)+H52/H44*'Town forecast'!H45*MIN(H8*H29*H38*H41*'Payments'!H24+'Payments'!H25,'Payments'!H26)+H52/H44*'Town forecast'!H46*MIN(H8*H30*1*H41*'Payments'!H24+'Payments'!H25,'Payments'!H26)+H52/H44*'Town forecast'!H47*MIN(H8*H30*H37*H41*'Payments'!H24+'Payments'!H25,'Payments'!H26)+H52/H44*'Town forecast'!H48*MIN(H8*H30*H38*H41*'Payments'!H24+'Payments'!H25,'Payments'!H26)+H53/H44*'Town forecast'!H40*MIN(H9*1*1*H41*'Payments'!H24+'Payments'!H25,'Payments'!H26)+H53/H44*'Town forecast'!H41*MIN(H9*1*H37*H41*'Payments'!H24+'Payments'!H25,'Payments'!H26)+H53/H44*'Town forecast'!H42*MIN(H9*1*H38*H41*'Payments'!H24+'Payments'!H25,'Payments'!H26)+H53/H44*'Town forecast'!H43*MIN(H9*H29*1*H41*'Payments'!H24+'Payments'!H25,'Payments'!H26)+H53/H44*'Town forecast'!H44*MIN(H9*H29*H37*H41*'Payments'!H24+'Payments'!H25,'Payments'!H26)+H53/H44*'Town forecast'!H45*MIN(H9*H29*H38*H41*'Payments'!H24+'Payments'!H25,'Payments'!H26)+H53/H44*'Town forecast'!H46*MIN(H9*H30*1*H41*'Payments'!H24+'Payments'!H25,'Payments'!H26)+H53/H44*'Town forecast'!H47*MIN(H9*H30*H37*H41*'Payments'!H24+'Payments'!H25,'Payments'!H26)+H53/H44*'Town forecast'!H48*MIN(H9*H30*H38*H41*'Payments'!H24+'Payments'!H25,'Payments'!H26)+H54/H44*'Town forecast'!H40*MIN(H10*1*1*H41*'Payments'!H24+'Payments'!H25,'Payments'!H26)+H54/H44*'Town forecast'!H41*MIN(H10*1*H37*H41*'Payments'!H24+'Payments'!H25,'Payments'!H26)+H54/H44*'Town forecast'!H42*MIN(H10*1*H38*H41*'Payments'!H24+'Payments'!H25,'Payments'!H26)+H54/H44*'Town forecast'!H43*MIN(H10*H29*1*H41*'Payments'!H24+'Payments'!H25,'Payments'!H26)+H54/H44*'Town forecast'!H44*MIN(H10*H29*H37*H41*'Payments'!H24+'Payments'!H25,'Payments'!H26)+H54/H44*'Town forecast'!H45*MIN(H10*H29*H38*H41*'Payments'!H24+'Payments'!H25,'Payments'!H26)+H54/H44*'Town forecast'!H46*MIN(H10*H30*1*H41*'Payments'!H24+'Payments'!H25,'Payments'!H26)+H54/H44*'Town forecast'!H47*MIN(H10*H30*H37*H41*'Payments'!H24+'Payments'!H25,'Payments'!H26)+H54/H44*'Town forecast'!H48*MIN(H10*H30*H38*H41*'Payments'!H24+'Payments'!H25,'Payments'!H26)+H55/H44*'Town forecast'!H40*MIN(H11*1*1*H41*'Payments'!H24+'Payments'!H25,'Payments'!H26)+H55/H44*'Town forecast'!H41*MIN(H11*1*H37*H41*'Payments'!H24+'Payments'!H25,'Payments'!H26)+H55/H44*'Town forecast'!H42*MIN(H11*1*H38*H41*'Payments'!H24+'Payments'!H25,'Payments'!H26)+H55/H44*'Town forecast'!H43*MIN(H11*H29*1*H41*'Payments'!H24+'Payments'!H25,'Payments'!H26)+H55/H44*'Town forecast'!H44*MIN(H11*H29*H37*H41*'Payments'!H24+'Payments'!H25,'Payments'!H26)+H55/H44*'Town forecast'!H45*MIN(H11*H29*H38*H41*'Payments'!H24+'Payments'!H25,'Payments'!H26)+H55/H44*'Town forecast'!H46*MIN(H11*H30*1*H41*'Payments'!H24+'Payments'!H25,'Payments'!H26)+H55/H44*'Town forecast'!H47*MIN(H11*H30*H37*H41*'Payments'!H24+'Payments'!H25,'Payments'!H26)+H55/H44*'Town forecast'!H48*MIN(H11*H30*H38*H41*'Payments'!H24+'Payments'!H25,'Payments'!H26)</x:f>
        <x:v>0.9441814428827222</x:v>
      </x:c>
      <x:c r="I86" s="63" t="n">
        <x:f>I51/I44*'Town forecast'!I40*MIN(I7*1*1*I41*'Payments'!I24+'Payments'!I25,'Payments'!I26)+I51/I44*'Town forecast'!I41*MIN(I7*1*I37*I41*'Payments'!I24+'Payments'!I25,'Payments'!I26)+I51/I44*'Town forecast'!I42*MIN(I7*1*I38*I41*'Payments'!I24+'Payments'!I25,'Payments'!I26)+I51/I44*'Town forecast'!I43*MIN(I7*I29*1*I41*'Payments'!I24+'Payments'!I25,'Payments'!I26)+I51/I44*'Town forecast'!I44*MIN(I7*I29*I37*I41*'Payments'!I24+'Payments'!I25,'Payments'!I26)+I51/I44*'Town forecast'!I45*MIN(I7*I29*I38*I41*'Payments'!I24+'Payments'!I25,'Payments'!I26)+I51/I44*'Town forecast'!I46*MIN(I7*I30*1*I41*'Payments'!I24+'Payments'!I25,'Payments'!I26)+I51/I44*'Town forecast'!I47*MIN(I7*I30*I37*I41*'Payments'!I24+'Payments'!I25,'Payments'!I26)+I51/I44*'Town forecast'!I48*MIN(I7*I30*I38*I41*'Payments'!I24+'Payments'!I25,'Payments'!I26)+I52/I44*'Town forecast'!I40*MIN(I8*1*1*I41*'Payments'!I24+'Payments'!I25,'Payments'!I26)+I52/I44*'Town forecast'!I41*MIN(I8*1*I37*I41*'Payments'!I24+'Payments'!I25,'Payments'!I26)+I52/I44*'Town forecast'!I42*MIN(I8*1*I38*I41*'Payments'!I24+'Payments'!I25,'Payments'!I26)+I52/I44*'Town forecast'!I43*MIN(I8*I29*1*I41*'Payments'!I24+'Payments'!I25,'Payments'!I26)+I52/I44*'Town forecast'!I44*MIN(I8*I29*I37*I41*'Payments'!I24+'Payments'!I25,'Payments'!I26)+I52/I44*'Town forecast'!I45*MIN(I8*I29*I38*I41*'Payments'!I24+'Payments'!I25,'Payments'!I26)+I52/I44*'Town forecast'!I46*MIN(I8*I30*1*I41*'Payments'!I24+'Payments'!I25,'Payments'!I26)+I52/I44*'Town forecast'!I47*MIN(I8*I30*I37*I41*'Payments'!I24+'Payments'!I25,'Payments'!I26)+I52/I44*'Town forecast'!I48*MIN(I8*I30*I38*I41*'Payments'!I24+'Payments'!I25,'Payments'!I26)+I53/I44*'Town forecast'!I40*MIN(I9*1*1*I41*'Payments'!I24+'Payments'!I25,'Payments'!I26)+I53/I44*'Town forecast'!I41*MIN(I9*1*I37*I41*'Payments'!I24+'Payments'!I25,'Payments'!I26)+I53/I44*'Town forecast'!I42*MIN(I9*1*I38*I41*'Payments'!I24+'Payments'!I25,'Payments'!I26)+I53/I44*'Town forecast'!I43*MIN(I9*I29*1*I41*'Payments'!I24+'Payments'!I25,'Payments'!I26)+I53/I44*'Town forecast'!I44*MIN(I9*I29*I37*I41*'Payments'!I24+'Payments'!I25,'Payments'!I26)+I53/I44*'Town forecast'!I45*MIN(I9*I29*I38*I41*'Payments'!I24+'Payments'!I25,'Payments'!I26)+I53/I44*'Town forecast'!I46*MIN(I9*I30*1*I41*'Payments'!I24+'Payments'!I25,'Payments'!I26)+I53/I44*'Town forecast'!I47*MIN(I9*I30*I37*I41*'Payments'!I24+'Payments'!I25,'Payments'!I26)+I53/I44*'Town forecast'!I48*MIN(I9*I30*I38*I41*'Payments'!I24+'Payments'!I25,'Payments'!I26)+I54/I44*'Town forecast'!I40*MIN(I10*1*1*I41*'Payments'!I24+'Payments'!I25,'Payments'!I26)+I54/I44*'Town forecast'!I41*MIN(I10*1*I37*I41*'Payments'!I24+'Payments'!I25,'Payments'!I26)+I54/I44*'Town forecast'!I42*MIN(I10*1*I38*I41*'Payments'!I24+'Payments'!I25,'Payments'!I26)+I54/I44*'Town forecast'!I43*MIN(I10*I29*1*I41*'Payments'!I24+'Payments'!I25,'Payments'!I26)+I54/I44*'Town forecast'!I44*MIN(I10*I29*I37*I41*'Payments'!I24+'Payments'!I25,'Payments'!I26)+I54/I44*'Town forecast'!I45*MIN(I10*I29*I38*I41*'Payments'!I24+'Payments'!I25,'Payments'!I26)+I54/I44*'Town forecast'!I46*MIN(I10*I30*1*I41*'Payments'!I24+'Payments'!I25,'Payments'!I26)+I54/I44*'Town forecast'!I47*MIN(I10*I30*I37*I41*'Payments'!I24+'Payments'!I25,'Payments'!I26)+I54/I44*'Town forecast'!I48*MIN(I10*I30*I38*I41*'Payments'!I24+'Payments'!I25,'Payments'!I26)+I55/I44*'Town forecast'!I40*MIN(I11*1*1*I41*'Payments'!I24+'Payments'!I25,'Payments'!I26)+I55/I44*'Town forecast'!I41*MIN(I11*1*I37*I41*'Payments'!I24+'Payments'!I25,'Payments'!I26)+I55/I44*'Town forecast'!I42*MIN(I11*1*I38*I41*'Payments'!I24+'Payments'!I25,'Payments'!I26)+I55/I44*'Town forecast'!I43*MIN(I11*I29*1*I41*'Payments'!I24+'Payments'!I25,'Payments'!I26)+I55/I44*'Town forecast'!I44*MIN(I11*I29*I37*I41*'Payments'!I24+'Payments'!I25,'Payments'!I26)+I55/I44*'Town forecast'!I45*MIN(I11*I29*I38*I41*'Payments'!I24+'Payments'!I25,'Payments'!I26)+I55/I44*'Town forecast'!I46*MIN(I11*I30*1*I41*'Payments'!I24+'Payments'!I25,'Payments'!I26)+I55/I44*'Town forecast'!I47*MIN(I11*I30*I37*I41*'Payments'!I24+'Payments'!I25,'Payments'!I26)+I55/I44*'Town forecast'!I48*MIN(I11*I30*I38*I41*'Payments'!I24+'Payments'!I25,'Payments'!I26)</x:f>
        <x:v>1.0101233789045192</x:v>
      </x:c>
      <x:c r="J86" s="63" t="n">
        <x:f>J51/J44*'Town forecast'!J40*MIN(J7*1*1*J41*'Payments'!J24+'Payments'!J25,'Payments'!J26)+J51/J44*'Town forecast'!J41*MIN(J7*1*J37*J41*'Payments'!J24+'Payments'!J25,'Payments'!J26)+J51/J44*'Town forecast'!J42*MIN(J7*1*J38*J41*'Payments'!J24+'Payments'!J25,'Payments'!J26)+J51/J44*'Town forecast'!J43*MIN(J7*J29*1*J41*'Payments'!J24+'Payments'!J25,'Payments'!J26)+J51/J44*'Town forecast'!J44*MIN(J7*J29*J37*J41*'Payments'!J24+'Payments'!J25,'Payments'!J26)+J51/J44*'Town forecast'!J45*MIN(J7*J29*J38*J41*'Payments'!J24+'Payments'!J25,'Payments'!J26)+J51/J44*'Town forecast'!J46*MIN(J7*J30*1*J41*'Payments'!J24+'Payments'!J25,'Payments'!J26)+J51/J44*'Town forecast'!J47*MIN(J7*J30*J37*J41*'Payments'!J24+'Payments'!J25,'Payments'!J26)+J51/J44*'Town forecast'!J48*MIN(J7*J30*J38*J41*'Payments'!J24+'Payments'!J25,'Payments'!J26)+J52/J44*'Town forecast'!J40*MIN(J8*1*1*J41*'Payments'!J24+'Payments'!J25,'Payments'!J26)+J52/J44*'Town forecast'!J41*MIN(J8*1*J37*J41*'Payments'!J24+'Payments'!J25,'Payments'!J26)+J52/J44*'Town forecast'!J42*MIN(J8*1*J38*J41*'Payments'!J24+'Payments'!J25,'Payments'!J26)+J52/J44*'Town forecast'!J43*MIN(J8*J29*1*J41*'Payments'!J24+'Payments'!J25,'Payments'!J26)+J52/J44*'Town forecast'!J44*MIN(J8*J29*J37*J41*'Payments'!J24+'Payments'!J25,'Payments'!J26)+J52/J44*'Town forecast'!J45*MIN(J8*J29*J38*J41*'Payments'!J24+'Payments'!J25,'Payments'!J26)+J52/J44*'Town forecast'!J46*MIN(J8*J30*1*J41*'Payments'!J24+'Payments'!J25,'Payments'!J26)+J52/J44*'Town forecast'!J47*MIN(J8*J30*J37*J41*'Payments'!J24+'Payments'!J25,'Payments'!J26)+J52/J44*'Town forecast'!J48*MIN(J8*J30*J38*J41*'Payments'!J24+'Payments'!J25,'Payments'!J26)+J53/J44*'Town forecast'!J40*MIN(J9*1*1*J41*'Payments'!J24+'Payments'!J25,'Payments'!J26)+J53/J44*'Town forecast'!J41*MIN(J9*1*J37*J41*'Payments'!J24+'Payments'!J25,'Payments'!J26)+J53/J44*'Town forecast'!J42*MIN(J9*1*J38*J41*'Payments'!J24+'Payments'!J25,'Payments'!J26)+J53/J44*'Town forecast'!J43*MIN(J9*J29*1*J41*'Payments'!J24+'Payments'!J25,'Payments'!J26)+J53/J44*'Town forecast'!J44*MIN(J9*J29*J37*J41*'Payments'!J24+'Payments'!J25,'Payments'!J26)+J53/J44*'Town forecast'!J45*MIN(J9*J29*J38*J41*'Payments'!J24+'Payments'!J25,'Payments'!J26)+J53/J44*'Town forecast'!J46*MIN(J9*J30*1*J41*'Payments'!J24+'Payments'!J25,'Payments'!J26)+J53/J44*'Town forecast'!J47*MIN(J9*J30*J37*J41*'Payments'!J24+'Payments'!J25,'Payments'!J26)+J53/J44*'Town forecast'!J48*MIN(J9*J30*J38*J41*'Payments'!J24+'Payments'!J25,'Payments'!J26)+J54/J44*'Town forecast'!J40*MIN(J10*1*1*J41*'Payments'!J24+'Payments'!J25,'Payments'!J26)+J54/J44*'Town forecast'!J41*MIN(J10*1*J37*J41*'Payments'!J24+'Payments'!J25,'Payments'!J26)+J54/J44*'Town forecast'!J42*MIN(J10*1*J38*J41*'Payments'!J24+'Payments'!J25,'Payments'!J26)+J54/J44*'Town forecast'!J43*MIN(J10*J29*1*J41*'Payments'!J24+'Payments'!J25,'Payments'!J26)+J54/J44*'Town forecast'!J44*MIN(J10*J29*J37*J41*'Payments'!J24+'Payments'!J25,'Payments'!J26)+J54/J44*'Town forecast'!J45*MIN(J10*J29*J38*J41*'Payments'!J24+'Payments'!J25,'Payments'!J26)+J54/J44*'Town forecast'!J46*MIN(J10*J30*1*J41*'Payments'!J24+'Payments'!J25,'Payments'!J26)+J54/J44*'Town forecast'!J47*MIN(J10*J30*J37*J41*'Payments'!J24+'Payments'!J25,'Payments'!J26)+J54/J44*'Town forecast'!J48*MIN(J10*J30*J38*J41*'Payments'!J24+'Payments'!J25,'Payments'!J26)+J55/J44*'Town forecast'!J40*MIN(J11*1*1*J41*'Payments'!J24+'Payments'!J25,'Payments'!J26)+J55/J44*'Town forecast'!J41*MIN(J11*1*J37*J41*'Payments'!J24+'Payments'!J25,'Payments'!J26)+J55/J44*'Town forecast'!J42*MIN(J11*1*J38*J41*'Payments'!J24+'Payments'!J25,'Payments'!J26)+J55/J44*'Town forecast'!J43*MIN(J11*J29*1*J41*'Payments'!J24+'Payments'!J25,'Payments'!J26)+J55/J44*'Town forecast'!J44*MIN(J11*J29*J37*J41*'Payments'!J24+'Payments'!J25,'Payments'!J26)+J55/J44*'Town forecast'!J45*MIN(J11*J29*J38*J41*'Payments'!J24+'Payments'!J25,'Payments'!J26)+J55/J44*'Town forecast'!J46*MIN(J11*J30*1*J41*'Payments'!J24+'Payments'!J25,'Payments'!J26)+J55/J44*'Town forecast'!J47*MIN(J11*J30*J37*J41*'Payments'!J24+'Payments'!J25,'Payments'!J26)+J55/J44*'Town forecast'!J48*MIN(J11*J30*J38*J41*'Payments'!J24+'Payments'!J25,'Payments'!J26)</x:f>
        <x:v>1.0803464127261564</x:v>
      </x:c>
      <x:c r="K86" s="1"/>
      <x:c r="L86" s="1"/>
      <x:c r="M86" s="1"/>
    </x:row>
    <x:row r="87" ht="22" customHeight="1">
      <x:c r="A87" s="1"/>
      <x:c r="B87" s="1"/>
      <x:c r="C87" s="1" t="str">
        <x:v>YardMatch fee per card-paid job</x:v>
      </x:c>
      <x:c r="D87" s="63" t="n">
        <x:f>D51/D44*'Town forecast'!D40*MAX('Assumptions'!$D$118,D7*1*1*D41*'Assumptions'!$D$115)+D51/D44*'Town forecast'!D41*MAX('Assumptions'!$D$118,D7*1*D37*D41*'Assumptions'!$D$115)+D51/D44*'Town forecast'!D42*MAX('Assumptions'!$D$118,D7*1*D38*D41*'Assumptions'!$D$115)+D51/D44*'Town forecast'!D43*MAX('Assumptions'!$D$118,D7*D29*1*D41*'Assumptions'!$D$115)+D51/D44*'Town forecast'!D44*MAX('Assumptions'!$D$118,D7*D29*D37*D41*'Assumptions'!$D$115)+D51/D44*'Town forecast'!D45*MAX('Assumptions'!$D$118,D7*D29*D38*D41*'Assumptions'!$D$115)+D51/D44*'Town forecast'!D46*MAX('Assumptions'!$D$118,D7*D30*1*D41*'Assumptions'!$D$115)+D51/D44*'Town forecast'!D47*MAX('Assumptions'!$D$118,D7*D30*D37*D41*'Assumptions'!$D$115)+D51/D44*'Town forecast'!D48*MAX('Assumptions'!$D$118,D7*D30*D38*D41*'Assumptions'!$D$115)+D52/D44*'Town forecast'!D40*MAX('Assumptions'!$D$118,D8*1*1*D41*'Assumptions'!$D$115)+D52/D44*'Town forecast'!D41*MAX('Assumptions'!$D$118,D8*1*D37*D41*'Assumptions'!$D$115)+D52/D44*'Town forecast'!D42*MAX('Assumptions'!$D$118,D8*1*D38*D41*'Assumptions'!$D$115)+D52/D44*'Town forecast'!D43*MAX('Assumptions'!$D$118,D8*D29*1*D41*'Assumptions'!$D$115)+D52/D44*'Town forecast'!D44*MAX('Assumptions'!$D$118,D8*D29*D37*D41*'Assumptions'!$D$115)+D52/D44*'Town forecast'!D45*MAX('Assumptions'!$D$118,D8*D29*D38*D41*'Assumptions'!$D$115)+D52/D44*'Town forecast'!D46*MAX('Assumptions'!$D$118,D8*D30*1*D41*'Assumptions'!$D$115)+D52/D44*'Town forecast'!D47*MAX('Assumptions'!$D$118,D8*D30*D37*D41*'Assumptions'!$D$115)+D52/D44*'Town forecast'!D48*MAX('Assumptions'!$D$118,D8*D30*D38*D41*'Assumptions'!$D$115)+D53/D44*'Town forecast'!D40*MAX('Assumptions'!$D$118,D9*1*1*D41*'Assumptions'!$D$115)+D53/D44*'Town forecast'!D41*MAX('Assumptions'!$D$118,D9*1*D37*D41*'Assumptions'!$D$115)+D53/D44*'Town forecast'!D42*MAX('Assumptions'!$D$118,D9*1*D38*D41*'Assumptions'!$D$115)+D53/D44*'Town forecast'!D43*MAX('Assumptions'!$D$118,D9*D29*1*D41*'Assumptions'!$D$115)+D53/D44*'Town forecast'!D44*MAX('Assumptions'!$D$118,D9*D29*D37*D41*'Assumptions'!$D$115)+D53/D44*'Town forecast'!D45*MAX('Assumptions'!$D$118,D9*D29*D38*D41*'Assumptions'!$D$115)+D53/D44*'Town forecast'!D46*MAX('Assumptions'!$D$118,D9*D30*1*D41*'Assumptions'!$D$115)+D53/D44*'Town forecast'!D47*MAX('Assumptions'!$D$118,D9*D30*D37*D41*'Assumptions'!$D$115)+D53/D44*'Town forecast'!D48*MAX('Assumptions'!$D$118,D9*D30*D38*D41*'Assumptions'!$D$115)+D54/D44*'Town forecast'!D40*MAX('Assumptions'!$D$118,D10*1*1*D41*'Assumptions'!$D$115)+D54/D44*'Town forecast'!D41*MAX('Assumptions'!$D$118,D10*1*D37*D41*'Assumptions'!$D$115)+D54/D44*'Town forecast'!D42*MAX('Assumptions'!$D$118,D10*1*D38*D41*'Assumptions'!$D$115)+D54/D44*'Town forecast'!D43*MAX('Assumptions'!$D$118,D10*D29*1*D41*'Assumptions'!$D$115)+D54/D44*'Town forecast'!D44*MAX('Assumptions'!$D$118,D10*D29*D37*D41*'Assumptions'!$D$115)+D54/D44*'Town forecast'!D45*MAX('Assumptions'!$D$118,D10*D29*D38*D41*'Assumptions'!$D$115)+D54/D44*'Town forecast'!D46*MAX('Assumptions'!$D$118,D10*D30*1*D41*'Assumptions'!$D$115)+D54/D44*'Town forecast'!D47*MAX('Assumptions'!$D$118,D10*D30*D37*D41*'Assumptions'!$D$115)+D54/D44*'Town forecast'!D48*MAX('Assumptions'!$D$118,D10*D30*D38*D41*'Assumptions'!$D$115)+D55/D44*'Town forecast'!D40*MAX('Assumptions'!$D$118,D11*1*1*D41*'Assumptions'!$D$115)+D55/D44*'Town forecast'!D41*MAX('Assumptions'!$D$118,D11*1*D37*D41*'Assumptions'!$D$115)+D55/D44*'Town forecast'!D42*MAX('Assumptions'!$D$118,D11*1*D38*D41*'Assumptions'!$D$115)+D55/D44*'Town forecast'!D43*MAX('Assumptions'!$D$118,D11*D29*1*D41*'Assumptions'!$D$115)+D55/D44*'Town forecast'!D44*MAX('Assumptions'!$D$118,D11*D29*D37*D41*'Assumptions'!$D$115)+D55/D44*'Town forecast'!D45*MAX('Assumptions'!$D$118,D11*D29*D38*D41*'Assumptions'!$D$115)+D55/D44*'Town forecast'!D46*MAX('Assumptions'!$D$118,D11*D30*1*D41*'Assumptions'!$D$115)+D55/D44*'Town forecast'!D47*MAX('Assumptions'!$D$118,D11*D30*D37*D41*'Assumptions'!$D$115)+D55/D44*'Town forecast'!D48*MAX('Assumptions'!$D$118,D11*D30*D38*D41*'Assumptions'!$D$115)</x:f>
        <x:v>0</x:v>
      </x:c>
      <x:c r="E87" s="63" t="n">
        <x:f>E51/E44*'Town forecast'!E40*MAX('Assumptions'!$D$118,E7*1*1*E41*'Assumptions'!$D$115)+E51/E44*'Town forecast'!E41*MAX('Assumptions'!$D$118,E7*1*E37*E41*'Assumptions'!$D$115)+E51/E44*'Town forecast'!E42*MAX('Assumptions'!$D$118,E7*1*E38*E41*'Assumptions'!$D$115)+E51/E44*'Town forecast'!E43*MAX('Assumptions'!$D$118,E7*E29*1*E41*'Assumptions'!$D$115)+E51/E44*'Town forecast'!E44*MAX('Assumptions'!$D$118,E7*E29*E37*E41*'Assumptions'!$D$115)+E51/E44*'Town forecast'!E45*MAX('Assumptions'!$D$118,E7*E29*E38*E41*'Assumptions'!$D$115)+E51/E44*'Town forecast'!E46*MAX('Assumptions'!$D$118,E7*E30*1*E41*'Assumptions'!$D$115)+E51/E44*'Town forecast'!E47*MAX('Assumptions'!$D$118,E7*E30*E37*E41*'Assumptions'!$D$115)+E51/E44*'Town forecast'!E48*MAX('Assumptions'!$D$118,E7*E30*E38*E41*'Assumptions'!$D$115)+E52/E44*'Town forecast'!E40*MAX('Assumptions'!$D$118,E8*1*1*E41*'Assumptions'!$D$115)+E52/E44*'Town forecast'!E41*MAX('Assumptions'!$D$118,E8*1*E37*E41*'Assumptions'!$D$115)+E52/E44*'Town forecast'!E42*MAX('Assumptions'!$D$118,E8*1*E38*E41*'Assumptions'!$D$115)+E52/E44*'Town forecast'!E43*MAX('Assumptions'!$D$118,E8*E29*1*E41*'Assumptions'!$D$115)+E52/E44*'Town forecast'!E44*MAX('Assumptions'!$D$118,E8*E29*E37*E41*'Assumptions'!$D$115)+E52/E44*'Town forecast'!E45*MAX('Assumptions'!$D$118,E8*E29*E38*E41*'Assumptions'!$D$115)+E52/E44*'Town forecast'!E46*MAX('Assumptions'!$D$118,E8*E30*1*E41*'Assumptions'!$D$115)+E52/E44*'Town forecast'!E47*MAX('Assumptions'!$D$118,E8*E30*E37*E41*'Assumptions'!$D$115)+E52/E44*'Town forecast'!E48*MAX('Assumptions'!$D$118,E8*E30*E38*E41*'Assumptions'!$D$115)+E53/E44*'Town forecast'!E40*MAX('Assumptions'!$D$118,E9*1*1*E41*'Assumptions'!$D$115)+E53/E44*'Town forecast'!E41*MAX('Assumptions'!$D$118,E9*1*E37*E41*'Assumptions'!$D$115)+E53/E44*'Town forecast'!E42*MAX('Assumptions'!$D$118,E9*1*E38*E41*'Assumptions'!$D$115)+E53/E44*'Town forecast'!E43*MAX('Assumptions'!$D$118,E9*E29*1*E41*'Assumptions'!$D$115)+E53/E44*'Town forecast'!E44*MAX('Assumptions'!$D$118,E9*E29*E37*E41*'Assumptions'!$D$115)+E53/E44*'Town forecast'!E45*MAX('Assumptions'!$D$118,E9*E29*E38*E41*'Assumptions'!$D$115)+E53/E44*'Town forecast'!E46*MAX('Assumptions'!$D$118,E9*E30*1*E41*'Assumptions'!$D$115)+E53/E44*'Town forecast'!E47*MAX('Assumptions'!$D$118,E9*E30*E37*E41*'Assumptions'!$D$115)+E53/E44*'Town forecast'!E48*MAX('Assumptions'!$D$118,E9*E30*E38*E41*'Assumptions'!$D$115)+E54/E44*'Town forecast'!E40*MAX('Assumptions'!$D$118,E10*1*1*E41*'Assumptions'!$D$115)+E54/E44*'Town forecast'!E41*MAX('Assumptions'!$D$118,E10*1*E37*E41*'Assumptions'!$D$115)+E54/E44*'Town forecast'!E42*MAX('Assumptions'!$D$118,E10*1*E38*E41*'Assumptions'!$D$115)+E54/E44*'Town forecast'!E43*MAX('Assumptions'!$D$118,E10*E29*1*E41*'Assumptions'!$D$115)+E54/E44*'Town forecast'!E44*MAX('Assumptions'!$D$118,E10*E29*E37*E41*'Assumptions'!$D$115)+E54/E44*'Town forecast'!E45*MAX('Assumptions'!$D$118,E10*E29*E38*E41*'Assumptions'!$D$115)+E54/E44*'Town forecast'!E46*MAX('Assumptions'!$D$118,E10*E30*1*E41*'Assumptions'!$D$115)+E54/E44*'Town forecast'!E47*MAX('Assumptions'!$D$118,E10*E30*E37*E41*'Assumptions'!$D$115)+E54/E44*'Town forecast'!E48*MAX('Assumptions'!$D$118,E10*E30*E38*E41*'Assumptions'!$D$115)+E55/E44*'Town forecast'!E40*MAX('Assumptions'!$D$118,E11*1*1*E41*'Assumptions'!$D$115)+E55/E44*'Town forecast'!E41*MAX('Assumptions'!$D$118,E11*1*E37*E41*'Assumptions'!$D$115)+E55/E44*'Town forecast'!E42*MAX('Assumptions'!$D$118,E11*1*E38*E41*'Assumptions'!$D$115)+E55/E44*'Town forecast'!E43*MAX('Assumptions'!$D$118,E11*E29*1*E41*'Assumptions'!$D$115)+E55/E44*'Town forecast'!E44*MAX('Assumptions'!$D$118,E11*E29*E37*E41*'Assumptions'!$D$115)+E55/E44*'Town forecast'!E45*MAX('Assumptions'!$D$118,E11*E29*E38*E41*'Assumptions'!$D$115)+E55/E44*'Town forecast'!E46*MAX('Assumptions'!$D$118,E11*E30*1*E41*'Assumptions'!$D$115)+E55/E44*'Town forecast'!E47*MAX('Assumptions'!$D$118,E11*E30*E37*E41*'Assumptions'!$D$115)+E55/E44*'Town forecast'!E48*MAX('Assumptions'!$D$118,E11*E30*E38*E41*'Assumptions'!$D$115)</x:f>
        <x:v>0</x:v>
      </x:c>
      <x:c r="F87" s="63" t="n">
        <x:f>F51/F44*'Town forecast'!F40*MAX('Assumptions'!$D$118,F7*1*1*F41*'Assumptions'!$D$115)+F51/F44*'Town forecast'!F41*MAX('Assumptions'!$D$118,F7*1*F37*F41*'Assumptions'!$D$115)+F51/F44*'Town forecast'!F42*MAX('Assumptions'!$D$118,F7*1*F38*F41*'Assumptions'!$D$115)+F51/F44*'Town forecast'!F43*MAX('Assumptions'!$D$118,F7*F29*1*F41*'Assumptions'!$D$115)+F51/F44*'Town forecast'!F44*MAX('Assumptions'!$D$118,F7*F29*F37*F41*'Assumptions'!$D$115)+F51/F44*'Town forecast'!F45*MAX('Assumptions'!$D$118,F7*F29*F38*F41*'Assumptions'!$D$115)+F51/F44*'Town forecast'!F46*MAX('Assumptions'!$D$118,F7*F30*1*F41*'Assumptions'!$D$115)+F51/F44*'Town forecast'!F47*MAX('Assumptions'!$D$118,F7*F30*F37*F41*'Assumptions'!$D$115)+F51/F44*'Town forecast'!F48*MAX('Assumptions'!$D$118,F7*F30*F38*F41*'Assumptions'!$D$115)+F52/F44*'Town forecast'!F40*MAX('Assumptions'!$D$118,F8*1*1*F41*'Assumptions'!$D$115)+F52/F44*'Town forecast'!F41*MAX('Assumptions'!$D$118,F8*1*F37*F41*'Assumptions'!$D$115)+F52/F44*'Town forecast'!F42*MAX('Assumptions'!$D$118,F8*1*F38*F41*'Assumptions'!$D$115)+F52/F44*'Town forecast'!F43*MAX('Assumptions'!$D$118,F8*F29*1*F41*'Assumptions'!$D$115)+F52/F44*'Town forecast'!F44*MAX('Assumptions'!$D$118,F8*F29*F37*F41*'Assumptions'!$D$115)+F52/F44*'Town forecast'!F45*MAX('Assumptions'!$D$118,F8*F29*F38*F41*'Assumptions'!$D$115)+F52/F44*'Town forecast'!F46*MAX('Assumptions'!$D$118,F8*F30*1*F41*'Assumptions'!$D$115)+F52/F44*'Town forecast'!F47*MAX('Assumptions'!$D$118,F8*F30*F37*F41*'Assumptions'!$D$115)+F52/F44*'Town forecast'!F48*MAX('Assumptions'!$D$118,F8*F30*F38*F41*'Assumptions'!$D$115)+F53/F44*'Town forecast'!F40*MAX('Assumptions'!$D$118,F9*1*1*F41*'Assumptions'!$D$115)+F53/F44*'Town forecast'!F41*MAX('Assumptions'!$D$118,F9*1*F37*F41*'Assumptions'!$D$115)+F53/F44*'Town forecast'!F42*MAX('Assumptions'!$D$118,F9*1*F38*F41*'Assumptions'!$D$115)+F53/F44*'Town forecast'!F43*MAX('Assumptions'!$D$118,F9*F29*1*F41*'Assumptions'!$D$115)+F53/F44*'Town forecast'!F44*MAX('Assumptions'!$D$118,F9*F29*F37*F41*'Assumptions'!$D$115)+F53/F44*'Town forecast'!F45*MAX('Assumptions'!$D$118,F9*F29*F38*F41*'Assumptions'!$D$115)+F53/F44*'Town forecast'!F46*MAX('Assumptions'!$D$118,F9*F30*1*F41*'Assumptions'!$D$115)+F53/F44*'Town forecast'!F47*MAX('Assumptions'!$D$118,F9*F30*F37*F41*'Assumptions'!$D$115)+F53/F44*'Town forecast'!F48*MAX('Assumptions'!$D$118,F9*F30*F38*F41*'Assumptions'!$D$115)+F54/F44*'Town forecast'!F40*MAX('Assumptions'!$D$118,F10*1*1*F41*'Assumptions'!$D$115)+F54/F44*'Town forecast'!F41*MAX('Assumptions'!$D$118,F10*1*F37*F41*'Assumptions'!$D$115)+F54/F44*'Town forecast'!F42*MAX('Assumptions'!$D$118,F10*1*F38*F41*'Assumptions'!$D$115)+F54/F44*'Town forecast'!F43*MAX('Assumptions'!$D$118,F10*F29*1*F41*'Assumptions'!$D$115)+F54/F44*'Town forecast'!F44*MAX('Assumptions'!$D$118,F10*F29*F37*F41*'Assumptions'!$D$115)+F54/F44*'Town forecast'!F45*MAX('Assumptions'!$D$118,F10*F29*F38*F41*'Assumptions'!$D$115)+F54/F44*'Town forecast'!F46*MAX('Assumptions'!$D$118,F10*F30*1*F41*'Assumptions'!$D$115)+F54/F44*'Town forecast'!F47*MAX('Assumptions'!$D$118,F10*F30*F37*F41*'Assumptions'!$D$115)+F54/F44*'Town forecast'!F48*MAX('Assumptions'!$D$118,F10*F30*F38*F41*'Assumptions'!$D$115)+F55/F44*'Town forecast'!F40*MAX('Assumptions'!$D$118,F11*1*1*F41*'Assumptions'!$D$115)+F55/F44*'Town forecast'!F41*MAX('Assumptions'!$D$118,F11*1*F37*F41*'Assumptions'!$D$115)+F55/F44*'Town forecast'!F42*MAX('Assumptions'!$D$118,F11*1*F38*F41*'Assumptions'!$D$115)+F55/F44*'Town forecast'!F43*MAX('Assumptions'!$D$118,F11*F29*1*F41*'Assumptions'!$D$115)+F55/F44*'Town forecast'!F44*MAX('Assumptions'!$D$118,F11*F29*F37*F41*'Assumptions'!$D$115)+F55/F44*'Town forecast'!F45*MAX('Assumptions'!$D$118,F11*F29*F38*F41*'Assumptions'!$D$115)+F55/F44*'Town forecast'!F46*MAX('Assumptions'!$D$118,F11*F30*1*F41*'Assumptions'!$D$115)+F55/F44*'Town forecast'!F47*MAX('Assumptions'!$D$118,F11*F30*F37*F41*'Assumptions'!$D$115)+F55/F44*'Town forecast'!F48*MAX('Assumptions'!$D$118,F11*F30*F38*F41*'Assumptions'!$D$115)</x:f>
        <x:v>0</x:v>
      </x:c>
      <x:c r="G87" s="63" t="n">
        <x:f>G51/G44*'Town forecast'!G40*MAX('Assumptions'!$D$118,G7*1*1*G41*'Assumptions'!$D$115)+G51/G44*'Town forecast'!G41*MAX('Assumptions'!$D$118,G7*1*G37*G41*'Assumptions'!$D$115)+G51/G44*'Town forecast'!G42*MAX('Assumptions'!$D$118,G7*1*G38*G41*'Assumptions'!$D$115)+G51/G44*'Town forecast'!G43*MAX('Assumptions'!$D$118,G7*G29*1*G41*'Assumptions'!$D$115)+G51/G44*'Town forecast'!G44*MAX('Assumptions'!$D$118,G7*G29*G37*G41*'Assumptions'!$D$115)+G51/G44*'Town forecast'!G45*MAX('Assumptions'!$D$118,G7*G29*G38*G41*'Assumptions'!$D$115)+G51/G44*'Town forecast'!G46*MAX('Assumptions'!$D$118,G7*G30*1*G41*'Assumptions'!$D$115)+G51/G44*'Town forecast'!G47*MAX('Assumptions'!$D$118,G7*G30*G37*G41*'Assumptions'!$D$115)+G51/G44*'Town forecast'!G48*MAX('Assumptions'!$D$118,G7*G30*G38*G41*'Assumptions'!$D$115)+G52/G44*'Town forecast'!G40*MAX('Assumptions'!$D$118,G8*1*1*G41*'Assumptions'!$D$115)+G52/G44*'Town forecast'!G41*MAX('Assumptions'!$D$118,G8*1*G37*G41*'Assumptions'!$D$115)+G52/G44*'Town forecast'!G42*MAX('Assumptions'!$D$118,G8*1*G38*G41*'Assumptions'!$D$115)+G52/G44*'Town forecast'!G43*MAX('Assumptions'!$D$118,G8*G29*1*G41*'Assumptions'!$D$115)+G52/G44*'Town forecast'!G44*MAX('Assumptions'!$D$118,G8*G29*G37*G41*'Assumptions'!$D$115)+G52/G44*'Town forecast'!G45*MAX('Assumptions'!$D$118,G8*G29*G38*G41*'Assumptions'!$D$115)+G52/G44*'Town forecast'!G46*MAX('Assumptions'!$D$118,G8*G30*1*G41*'Assumptions'!$D$115)+G52/G44*'Town forecast'!G47*MAX('Assumptions'!$D$118,G8*G30*G37*G41*'Assumptions'!$D$115)+G52/G44*'Town forecast'!G48*MAX('Assumptions'!$D$118,G8*G30*G38*G41*'Assumptions'!$D$115)+G53/G44*'Town forecast'!G40*MAX('Assumptions'!$D$118,G9*1*1*G41*'Assumptions'!$D$115)+G53/G44*'Town forecast'!G41*MAX('Assumptions'!$D$118,G9*1*G37*G41*'Assumptions'!$D$115)+G53/G44*'Town forecast'!G42*MAX('Assumptions'!$D$118,G9*1*G38*G41*'Assumptions'!$D$115)+G53/G44*'Town forecast'!G43*MAX('Assumptions'!$D$118,G9*G29*1*G41*'Assumptions'!$D$115)+G53/G44*'Town forecast'!G44*MAX('Assumptions'!$D$118,G9*G29*G37*G41*'Assumptions'!$D$115)+G53/G44*'Town forecast'!G45*MAX('Assumptions'!$D$118,G9*G29*G38*G41*'Assumptions'!$D$115)+G53/G44*'Town forecast'!G46*MAX('Assumptions'!$D$118,G9*G30*1*G41*'Assumptions'!$D$115)+G53/G44*'Town forecast'!G47*MAX('Assumptions'!$D$118,G9*G30*G37*G41*'Assumptions'!$D$115)+G53/G44*'Town forecast'!G48*MAX('Assumptions'!$D$118,G9*G30*G38*G41*'Assumptions'!$D$115)+G54/G44*'Town forecast'!G40*MAX('Assumptions'!$D$118,G10*1*1*G41*'Assumptions'!$D$115)+G54/G44*'Town forecast'!G41*MAX('Assumptions'!$D$118,G10*1*G37*G41*'Assumptions'!$D$115)+G54/G44*'Town forecast'!G42*MAX('Assumptions'!$D$118,G10*1*G38*G41*'Assumptions'!$D$115)+G54/G44*'Town forecast'!G43*MAX('Assumptions'!$D$118,G10*G29*1*G41*'Assumptions'!$D$115)+G54/G44*'Town forecast'!G44*MAX('Assumptions'!$D$118,G10*G29*G37*G41*'Assumptions'!$D$115)+G54/G44*'Town forecast'!G45*MAX('Assumptions'!$D$118,G10*G29*G38*G41*'Assumptions'!$D$115)+G54/G44*'Town forecast'!G46*MAX('Assumptions'!$D$118,G10*G30*1*G41*'Assumptions'!$D$115)+G54/G44*'Town forecast'!G47*MAX('Assumptions'!$D$118,G10*G30*G37*G41*'Assumptions'!$D$115)+G54/G44*'Town forecast'!G48*MAX('Assumptions'!$D$118,G10*G30*G38*G41*'Assumptions'!$D$115)+G55/G44*'Town forecast'!G40*MAX('Assumptions'!$D$118,G11*1*1*G41*'Assumptions'!$D$115)+G55/G44*'Town forecast'!G41*MAX('Assumptions'!$D$118,G11*1*G37*G41*'Assumptions'!$D$115)+G55/G44*'Town forecast'!G42*MAX('Assumptions'!$D$118,G11*1*G38*G41*'Assumptions'!$D$115)+G55/G44*'Town forecast'!G43*MAX('Assumptions'!$D$118,G11*G29*1*G41*'Assumptions'!$D$115)+G55/G44*'Town forecast'!G44*MAX('Assumptions'!$D$118,G11*G29*G37*G41*'Assumptions'!$D$115)+G55/G44*'Town forecast'!G45*MAX('Assumptions'!$D$118,G11*G29*G38*G41*'Assumptions'!$D$115)+G55/G44*'Town forecast'!G46*MAX('Assumptions'!$D$118,G11*G30*1*G41*'Assumptions'!$D$115)+G55/G44*'Town forecast'!G47*MAX('Assumptions'!$D$118,G11*G30*G37*G41*'Assumptions'!$D$115)+G55/G44*'Town forecast'!G48*MAX('Assumptions'!$D$118,G11*G30*G38*G41*'Assumptions'!$D$115)</x:f>
        <x:v>0</x:v>
      </x:c>
      <x:c r="H87" s="63" t="n">
        <x:f>H51/H44*'Town forecast'!H40*MAX('Assumptions'!$D$118,H7*1*1*H41*'Assumptions'!$D$115)+H51/H44*'Town forecast'!H41*MAX('Assumptions'!$D$118,H7*1*H37*H41*'Assumptions'!$D$115)+H51/H44*'Town forecast'!H42*MAX('Assumptions'!$D$118,H7*1*H38*H41*'Assumptions'!$D$115)+H51/H44*'Town forecast'!H43*MAX('Assumptions'!$D$118,H7*H29*1*H41*'Assumptions'!$D$115)+H51/H44*'Town forecast'!H44*MAX('Assumptions'!$D$118,H7*H29*H37*H41*'Assumptions'!$D$115)+H51/H44*'Town forecast'!H45*MAX('Assumptions'!$D$118,H7*H29*H38*H41*'Assumptions'!$D$115)+H51/H44*'Town forecast'!H46*MAX('Assumptions'!$D$118,H7*H30*1*H41*'Assumptions'!$D$115)+H51/H44*'Town forecast'!H47*MAX('Assumptions'!$D$118,H7*H30*H37*H41*'Assumptions'!$D$115)+H51/H44*'Town forecast'!H48*MAX('Assumptions'!$D$118,H7*H30*H38*H41*'Assumptions'!$D$115)+H52/H44*'Town forecast'!H40*MAX('Assumptions'!$D$118,H8*1*1*H41*'Assumptions'!$D$115)+H52/H44*'Town forecast'!H41*MAX('Assumptions'!$D$118,H8*1*H37*H41*'Assumptions'!$D$115)+H52/H44*'Town forecast'!H42*MAX('Assumptions'!$D$118,H8*1*H38*H41*'Assumptions'!$D$115)+H52/H44*'Town forecast'!H43*MAX('Assumptions'!$D$118,H8*H29*1*H41*'Assumptions'!$D$115)+H52/H44*'Town forecast'!H44*MAX('Assumptions'!$D$118,H8*H29*H37*H41*'Assumptions'!$D$115)+H52/H44*'Town forecast'!H45*MAX('Assumptions'!$D$118,H8*H29*H38*H41*'Assumptions'!$D$115)+H52/H44*'Town forecast'!H46*MAX('Assumptions'!$D$118,H8*H30*1*H41*'Assumptions'!$D$115)+H52/H44*'Town forecast'!H47*MAX('Assumptions'!$D$118,H8*H30*H37*H41*'Assumptions'!$D$115)+H52/H44*'Town forecast'!H48*MAX('Assumptions'!$D$118,H8*H30*H38*H41*'Assumptions'!$D$115)+H53/H44*'Town forecast'!H40*MAX('Assumptions'!$D$118,H9*1*1*H41*'Assumptions'!$D$115)+H53/H44*'Town forecast'!H41*MAX('Assumptions'!$D$118,H9*1*H37*H41*'Assumptions'!$D$115)+H53/H44*'Town forecast'!H42*MAX('Assumptions'!$D$118,H9*1*H38*H41*'Assumptions'!$D$115)+H53/H44*'Town forecast'!H43*MAX('Assumptions'!$D$118,H9*H29*1*H41*'Assumptions'!$D$115)+H53/H44*'Town forecast'!H44*MAX('Assumptions'!$D$118,H9*H29*H37*H41*'Assumptions'!$D$115)+H53/H44*'Town forecast'!H45*MAX('Assumptions'!$D$118,H9*H29*H38*H41*'Assumptions'!$D$115)+H53/H44*'Town forecast'!H46*MAX('Assumptions'!$D$118,H9*H30*1*H41*'Assumptions'!$D$115)+H53/H44*'Town forecast'!H47*MAX('Assumptions'!$D$118,H9*H30*H37*H41*'Assumptions'!$D$115)+H53/H44*'Town forecast'!H48*MAX('Assumptions'!$D$118,H9*H30*H38*H41*'Assumptions'!$D$115)+H54/H44*'Town forecast'!H40*MAX('Assumptions'!$D$118,H10*1*1*H41*'Assumptions'!$D$115)+H54/H44*'Town forecast'!H41*MAX('Assumptions'!$D$118,H10*1*H37*H41*'Assumptions'!$D$115)+H54/H44*'Town forecast'!H42*MAX('Assumptions'!$D$118,H10*1*H38*H41*'Assumptions'!$D$115)+H54/H44*'Town forecast'!H43*MAX('Assumptions'!$D$118,H10*H29*1*H41*'Assumptions'!$D$115)+H54/H44*'Town forecast'!H44*MAX('Assumptions'!$D$118,H10*H29*H37*H41*'Assumptions'!$D$115)+H54/H44*'Town forecast'!H45*MAX('Assumptions'!$D$118,H10*H29*H38*H41*'Assumptions'!$D$115)+H54/H44*'Town forecast'!H46*MAX('Assumptions'!$D$118,H10*H30*1*H41*'Assumptions'!$D$115)+H54/H44*'Town forecast'!H47*MAX('Assumptions'!$D$118,H10*H30*H37*H41*'Assumptions'!$D$115)+H54/H44*'Town forecast'!H48*MAX('Assumptions'!$D$118,H10*H30*H38*H41*'Assumptions'!$D$115)+H55/H44*'Town forecast'!H40*MAX('Assumptions'!$D$118,H11*1*1*H41*'Assumptions'!$D$115)+H55/H44*'Town forecast'!H41*MAX('Assumptions'!$D$118,H11*1*H37*H41*'Assumptions'!$D$115)+H55/H44*'Town forecast'!H42*MAX('Assumptions'!$D$118,H11*1*H38*H41*'Assumptions'!$D$115)+H55/H44*'Town forecast'!H43*MAX('Assumptions'!$D$118,H11*H29*1*H41*'Assumptions'!$D$115)+H55/H44*'Town forecast'!H44*MAX('Assumptions'!$D$118,H11*H29*H37*H41*'Assumptions'!$D$115)+H55/H44*'Town forecast'!H45*MAX('Assumptions'!$D$118,H11*H29*H38*H41*'Assumptions'!$D$115)+H55/H44*'Town forecast'!H46*MAX('Assumptions'!$D$118,H11*H30*1*H41*'Assumptions'!$D$115)+H55/H44*'Town forecast'!H47*MAX('Assumptions'!$D$118,H11*H30*H37*H41*'Assumptions'!$D$115)+H55/H44*'Town forecast'!H48*MAX('Assumptions'!$D$118,H11*H30*H38*H41*'Assumptions'!$D$115)</x:f>
        <x:v>0</x:v>
      </x:c>
      <x:c r="I87" s="63" t="n">
        <x:f>I51/I44*'Town forecast'!I40*MAX('Assumptions'!$D$118,I7*1*1*I41*'Assumptions'!$D$115)+I51/I44*'Town forecast'!I41*MAX('Assumptions'!$D$118,I7*1*I37*I41*'Assumptions'!$D$115)+I51/I44*'Town forecast'!I42*MAX('Assumptions'!$D$118,I7*1*I38*I41*'Assumptions'!$D$115)+I51/I44*'Town forecast'!I43*MAX('Assumptions'!$D$118,I7*I29*1*I41*'Assumptions'!$D$115)+I51/I44*'Town forecast'!I44*MAX('Assumptions'!$D$118,I7*I29*I37*I41*'Assumptions'!$D$115)+I51/I44*'Town forecast'!I45*MAX('Assumptions'!$D$118,I7*I29*I38*I41*'Assumptions'!$D$115)+I51/I44*'Town forecast'!I46*MAX('Assumptions'!$D$118,I7*I30*1*I41*'Assumptions'!$D$115)+I51/I44*'Town forecast'!I47*MAX('Assumptions'!$D$118,I7*I30*I37*I41*'Assumptions'!$D$115)+I51/I44*'Town forecast'!I48*MAX('Assumptions'!$D$118,I7*I30*I38*I41*'Assumptions'!$D$115)+I52/I44*'Town forecast'!I40*MAX('Assumptions'!$D$118,I8*1*1*I41*'Assumptions'!$D$115)+I52/I44*'Town forecast'!I41*MAX('Assumptions'!$D$118,I8*1*I37*I41*'Assumptions'!$D$115)+I52/I44*'Town forecast'!I42*MAX('Assumptions'!$D$118,I8*1*I38*I41*'Assumptions'!$D$115)+I52/I44*'Town forecast'!I43*MAX('Assumptions'!$D$118,I8*I29*1*I41*'Assumptions'!$D$115)+I52/I44*'Town forecast'!I44*MAX('Assumptions'!$D$118,I8*I29*I37*I41*'Assumptions'!$D$115)+I52/I44*'Town forecast'!I45*MAX('Assumptions'!$D$118,I8*I29*I38*I41*'Assumptions'!$D$115)+I52/I44*'Town forecast'!I46*MAX('Assumptions'!$D$118,I8*I30*1*I41*'Assumptions'!$D$115)+I52/I44*'Town forecast'!I47*MAX('Assumptions'!$D$118,I8*I30*I37*I41*'Assumptions'!$D$115)+I52/I44*'Town forecast'!I48*MAX('Assumptions'!$D$118,I8*I30*I38*I41*'Assumptions'!$D$115)+I53/I44*'Town forecast'!I40*MAX('Assumptions'!$D$118,I9*1*1*I41*'Assumptions'!$D$115)+I53/I44*'Town forecast'!I41*MAX('Assumptions'!$D$118,I9*1*I37*I41*'Assumptions'!$D$115)+I53/I44*'Town forecast'!I42*MAX('Assumptions'!$D$118,I9*1*I38*I41*'Assumptions'!$D$115)+I53/I44*'Town forecast'!I43*MAX('Assumptions'!$D$118,I9*I29*1*I41*'Assumptions'!$D$115)+I53/I44*'Town forecast'!I44*MAX('Assumptions'!$D$118,I9*I29*I37*I41*'Assumptions'!$D$115)+I53/I44*'Town forecast'!I45*MAX('Assumptions'!$D$118,I9*I29*I38*I41*'Assumptions'!$D$115)+I53/I44*'Town forecast'!I46*MAX('Assumptions'!$D$118,I9*I30*1*I41*'Assumptions'!$D$115)+I53/I44*'Town forecast'!I47*MAX('Assumptions'!$D$118,I9*I30*I37*I41*'Assumptions'!$D$115)+I53/I44*'Town forecast'!I48*MAX('Assumptions'!$D$118,I9*I30*I38*I41*'Assumptions'!$D$115)+I54/I44*'Town forecast'!I40*MAX('Assumptions'!$D$118,I10*1*1*I41*'Assumptions'!$D$115)+I54/I44*'Town forecast'!I41*MAX('Assumptions'!$D$118,I10*1*I37*I41*'Assumptions'!$D$115)+I54/I44*'Town forecast'!I42*MAX('Assumptions'!$D$118,I10*1*I38*I41*'Assumptions'!$D$115)+I54/I44*'Town forecast'!I43*MAX('Assumptions'!$D$118,I10*I29*1*I41*'Assumptions'!$D$115)+I54/I44*'Town forecast'!I44*MAX('Assumptions'!$D$118,I10*I29*I37*I41*'Assumptions'!$D$115)+I54/I44*'Town forecast'!I45*MAX('Assumptions'!$D$118,I10*I29*I38*I41*'Assumptions'!$D$115)+I54/I44*'Town forecast'!I46*MAX('Assumptions'!$D$118,I10*I30*1*I41*'Assumptions'!$D$115)+I54/I44*'Town forecast'!I47*MAX('Assumptions'!$D$118,I10*I30*I37*I41*'Assumptions'!$D$115)+I54/I44*'Town forecast'!I48*MAX('Assumptions'!$D$118,I10*I30*I38*I41*'Assumptions'!$D$115)+I55/I44*'Town forecast'!I40*MAX('Assumptions'!$D$118,I11*1*1*I41*'Assumptions'!$D$115)+I55/I44*'Town forecast'!I41*MAX('Assumptions'!$D$118,I11*1*I37*I41*'Assumptions'!$D$115)+I55/I44*'Town forecast'!I42*MAX('Assumptions'!$D$118,I11*1*I38*I41*'Assumptions'!$D$115)+I55/I44*'Town forecast'!I43*MAX('Assumptions'!$D$118,I11*I29*1*I41*'Assumptions'!$D$115)+I55/I44*'Town forecast'!I44*MAX('Assumptions'!$D$118,I11*I29*I37*I41*'Assumptions'!$D$115)+I55/I44*'Town forecast'!I45*MAX('Assumptions'!$D$118,I11*I29*I38*I41*'Assumptions'!$D$115)+I55/I44*'Town forecast'!I46*MAX('Assumptions'!$D$118,I11*I30*1*I41*'Assumptions'!$D$115)+I55/I44*'Town forecast'!I47*MAX('Assumptions'!$D$118,I11*I30*I37*I41*'Assumptions'!$D$115)+I55/I44*'Town forecast'!I48*MAX('Assumptions'!$D$118,I11*I30*I38*I41*'Assumptions'!$D$115)</x:f>
        <x:v>0</x:v>
      </x:c>
      <x:c r="J87" s="63" t="n">
        <x:f>J51/J44*'Town forecast'!J40*MAX('Assumptions'!$D$118,J7*1*1*J41*'Assumptions'!$D$115)+J51/J44*'Town forecast'!J41*MAX('Assumptions'!$D$118,J7*1*J37*J41*'Assumptions'!$D$115)+J51/J44*'Town forecast'!J42*MAX('Assumptions'!$D$118,J7*1*J38*J41*'Assumptions'!$D$115)+J51/J44*'Town forecast'!J43*MAX('Assumptions'!$D$118,J7*J29*1*J41*'Assumptions'!$D$115)+J51/J44*'Town forecast'!J44*MAX('Assumptions'!$D$118,J7*J29*J37*J41*'Assumptions'!$D$115)+J51/J44*'Town forecast'!J45*MAX('Assumptions'!$D$118,J7*J29*J38*J41*'Assumptions'!$D$115)+J51/J44*'Town forecast'!J46*MAX('Assumptions'!$D$118,J7*J30*1*J41*'Assumptions'!$D$115)+J51/J44*'Town forecast'!J47*MAX('Assumptions'!$D$118,J7*J30*J37*J41*'Assumptions'!$D$115)+J51/J44*'Town forecast'!J48*MAX('Assumptions'!$D$118,J7*J30*J38*J41*'Assumptions'!$D$115)+J52/J44*'Town forecast'!J40*MAX('Assumptions'!$D$118,J8*1*1*J41*'Assumptions'!$D$115)+J52/J44*'Town forecast'!J41*MAX('Assumptions'!$D$118,J8*1*J37*J41*'Assumptions'!$D$115)+J52/J44*'Town forecast'!J42*MAX('Assumptions'!$D$118,J8*1*J38*J41*'Assumptions'!$D$115)+J52/J44*'Town forecast'!J43*MAX('Assumptions'!$D$118,J8*J29*1*J41*'Assumptions'!$D$115)+J52/J44*'Town forecast'!J44*MAX('Assumptions'!$D$118,J8*J29*J37*J41*'Assumptions'!$D$115)+J52/J44*'Town forecast'!J45*MAX('Assumptions'!$D$118,J8*J29*J38*J41*'Assumptions'!$D$115)+J52/J44*'Town forecast'!J46*MAX('Assumptions'!$D$118,J8*J30*1*J41*'Assumptions'!$D$115)+J52/J44*'Town forecast'!J47*MAX('Assumptions'!$D$118,J8*J30*J37*J41*'Assumptions'!$D$115)+J52/J44*'Town forecast'!J48*MAX('Assumptions'!$D$118,J8*J30*J38*J41*'Assumptions'!$D$115)+J53/J44*'Town forecast'!J40*MAX('Assumptions'!$D$118,J9*1*1*J41*'Assumptions'!$D$115)+J53/J44*'Town forecast'!J41*MAX('Assumptions'!$D$118,J9*1*J37*J41*'Assumptions'!$D$115)+J53/J44*'Town forecast'!J42*MAX('Assumptions'!$D$118,J9*1*J38*J41*'Assumptions'!$D$115)+J53/J44*'Town forecast'!J43*MAX('Assumptions'!$D$118,J9*J29*1*J41*'Assumptions'!$D$115)+J53/J44*'Town forecast'!J44*MAX('Assumptions'!$D$118,J9*J29*J37*J41*'Assumptions'!$D$115)+J53/J44*'Town forecast'!J45*MAX('Assumptions'!$D$118,J9*J29*J38*J41*'Assumptions'!$D$115)+J53/J44*'Town forecast'!J46*MAX('Assumptions'!$D$118,J9*J30*1*J41*'Assumptions'!$D$115)+J53/J44*'Town forecast'!J47*MAX('Assumptions'!$D$118,J9*J30*J37*J41*'Assumptions'!$D$115)+J53/J44*'Town forecast'!J48*MAX('Assumptions'!$D$118,J9*J30*J38*J41*'Assumptions'!$D$115)+J54/J44*'Town forecast'!J40*MAX('Assumptions'!$D$118,J10*1*1*J41*'Assumptions'!$D$115)+J54/J44*'Town forecast'!J41*MAX('Assumptions'!$D$118,J10*1*J37*J41*'Assumptions'!$D$115)+J54/J44*'Town forecast'!J42*MAX('Assumptions'!$D$118,J10*1*J38*J41*'Assumptions'!$D$115)+J54/J44*'Town forecast'!J43*MAX('Assumptions'!$D$118,J10*J29*1*J41*'Assumptions'!$D$115)+J54/J44*'Town forecast'!J44*MAX('Assumptions'!$D$118,J10*J29*J37*J41*'Assumptions'!$D$115)+J54/J44*'Town forecast'!J45*MAX('Assumptions'!$D$118,J10*J29*J38*J41*'Assumptions'!$D$115)+J54/J44*'Town forecast'!J46*MAX('Assumptions'!$D$118,J10*J30*1*J41*'Assumptions'!$D$115)+J54/J44*'Town forecast'!J47*MAX('Assumptions'!$D$118,J10*J30*J37*J41*'Assumptions'!$D$115)+J54/J44*'Town forecast'!J48*MAX('Assumptions'!$D$118,J10*J30*J38*J41*'Assumptions'!$D$115)+J55/J44*'Town forecast'!J40*MAX('Assumptions'!$D$118,J11*1*1*J41*'Assumptions'!$D$115)+J55/J44*'Town forecast'!J41*MAX('Assumptions'!$D$118,J11*1*J37*J41*'Assumptions'!$D$115)+J55/J44*'Town forecast'!J42*MAX('Assumptions'!$D$118,J11*1*J38*J41*'Assumptions'!$D$115)+J55/J44*'Town forecast'!J43*MAX('Assumptions'!$D$118,J11*J29*1*J41*'Assumptions'!$D$115)+J55/J44*'Town forecast'!J44*MAX('Assumptions'!$D$118,J11*J29*J37*J41*'Assumptions'!$D$115)+J55/J44*'Town forecast'!J45*MAX('Assumptions'!$D$118,J11*J29*J38*J41*'Assumptions'!$D$115)+J55/J44*'Town forecast'!J46*MAX('Assumptions'!$D$118,J11*J30*1*J41*'Assumptions'!$D$115)+J55/J44*'Town forecast'!J47*MAX('Assumptions'!$D$118,J11*J30*J37*J41*'Assumptions'!$D$115)+J55/J44*'Town forecast'!J48*MAX('Assumptions'!$D$118,J11*J30*J38*J41*'Assumptions'!$D$115)</x:f>
        <x:v>0</x:v>
      </x:c>
      <x:c r="K87" s="1"/>
      <x:c r="L87" s="1"/>
      <x:c r="M87" s="1"/>
    </x:row>
    <x:row r="88" ht="22" customHeight="1">
      <x:c r="A88" s="1"/>
      <x:c r="B88" s="1"/>
      <x:c r="C88" s="1" t="str">
        <x:v>YardMatch fee per ACH-paid job</x:v>
      </x:c>
      <x:c r="D88" s="63" t="n">
        <x:f>D51/D44*'Town forecast'!D40*MAX('Assumptions'!$D$118,D7*1*1*D41*'Assumptions'!$D$145)+D51/D44*'Town forecast'!D41*MAX('Assumptions'!$D$118,D7*1*D37*D41*'Assumptions'!$D$145)+D51/D44*'Town forecast'!D42*MAX('Assumptions'!$D$118,D7*1*D38*D41*'Assumptions'!$D$145)+D51/D44*'Town forecast'!D43*MAX('Assumptions'!$D$118,D7*D29*1*D41*'Assumptions'!$D$145)+D51/D44*'Town forecast'!D44*MAX('Assumptions'!$D$118,D7*D29*D37*D41*'Assumptions'!$D$145)+D51/D44*'Town forecast'!D45*MAX('Assumptions'!$D$118,D7*D29*D38*D41*'Assumptions'!$D$145)+D51/D44*'Town forecast'!D46*MAX('Assumptions'!$D$118,D7*D30*1*D41*'Assumptions'!$D$145)+D51/D44*'Town forecast'!D47*MAX('Assumptions'!$D$118,D7*D30*D37*D41*'Assumptions'!$D$145)+D51/D44*'Town forecast'!D48*MAX('Assumptions'!$D$118,D7*D30*D38*D41*'Assumptions'!$D$145)+D52/D44*'Town forecast'!D40*MAX('Assumptions'!$D$118,D8*1*1*D41*'Assumptions'!$D$145)+D52/D44*'Town forecast'!D41*MAX('Assumptions'!$D$118,D8*1*D37*D41*'Assumptions'!$D$145)+D52/D44*'Town forecast'!D42*MAX('Assumptions'!$D$118,D8*1*D38*D41*'Assumptions'!$D$145)+D52/D44*'Town forecast'!D43*MAX('Assumptions'!$D$118,D8*D29*1*D41*'Assumptions'!$D$145)+D52/D44*'Town forecast'!D44*MAX('Assumptions'!$D$118,D8*D29*D37*D41*'Assumptions'!$D$145)+D52/D44*'Town forecast'!D45*MAX('Assumptions'!$D$118,D8*D29*D38*D41*'Assumptions'!$D$145)+D52/D44*'Town forecast'!D46*MAX('Assumptions'!$D$118,D8*D30*1*D41*'Assumptions'!$D$145)+D52/D44*'Town forecast'!D47*MAX('Assumptions'!$D$118,D8*D30*D37*D41*'Assumptions'!$D$145)+D52/D44*'Town forecast'!D48*MAX('Assumptions'!$D$118,D8*D30*D38*D41*'Assumptions'!$D$145)+D53/D44*'Town forecast'!D40*MAX('Assumptions'!$D$118,D9*1*1*D41*'Assumptions'!$D$145)+D53/D44*'Town forecast'!D41*MAX('Assumptions'!$D$118,D9*1*D37*D41*'Assumptions'!$D$145)+D53/D44*'Town forecast'!D42*MAX('Assumptions'!$D$118,D9*1*D38*D41*'Assumptions'!$D$145)+D53/D44*'Town forecast'!D43*MAX('Assumptions'!$D$118,D9*D29*1*D41*'Assumptions'!$D$145)+D53/D44*'Town forecast'!D44*MAX('Assumptions'!$D$118,D9*D29*D37*D41*'Assumptions'!$D$145)+D53/D44*'Town forecast'!D45*MAX('Assumptions'!$D$118,D9*D29*D38*D41*'Assumptions'!$D$145)+D53/D44*'Town forecast'!D46*MAX('Assumptions'!$D$118,D9*D30*1*D41*'Assumptions'!$D$145)+D53/D44*'Town forecast'!D47*MAX('Assumptions'!$D$118,D9*D30*D37*D41*'Assumptions'!$D$145)+D53/D44*'Town forecast'!D48*MAX('Assumptions'!$D$118,D9*D30*D38*D41*'Assumptions'!$D$145)+D54/D44*'Town forecast'!D40*MAX('Assumptions'!$D$118,D10*1*1*D41*'Assumptions'!$D$145)+D54/D44*'Town forecast'!D41*MAX('Assumptions'!$D$118,D10*1*D37*D41*'Assumptions'!$D$145)+D54/D44*'Town forecast'!D42*MAX('Assumptions'!$D$118,D10*1*D38*D41*'Assumptions'!$D$145)+D54/D44*'Town forecast'!D43*MAX('Assumptions'!$D$118,D10*D29*1*D41*'Assumptions'!$D$145)+D54/D44*'Town forecast'!D44*MAX('Assumptions'!$D$118,D10*D29*D37*D41*'Assumptions'!$D$145)+D54/D44*'Town forecast'!D45*MAX('Assumptions'!$D$118,D10*D29*D38*D41*'Assumptions'!$D$145)+D54/D44*'Town forecast'!D46*MAX('Assumptions'!$D$118,D10*D30*1*D41*'Assumptions'!$D$145)+D54/D44*'Town forecast'!D47*MAX('Assumptions'!$D$118,D10*D30*D37*D41*'Assumptions'!$D$145)+D54/D44*'Town forecast'!D48*MAX('Assumptions'!$D$118,D10*D30*D38*D41*'Assumptions'!$D$145)+D55/D44*'Town forecast'!D40*MAX('Assumptions'!$D$118,D11*1*1*D41*'Assumptions'!$D$145)+D55/D44*'Town forecast'!D41*MAX('Assumptions'!$D$118,D11*1*D37*D41*'Assumptions'!$D$145)+D55/D44*'Town forecast'!D42*MAX('Assumptions'!$D$118,D11*1*D38*D41*'Assumptions'!$D$145)+D55/D44*'Town forecast'!D43*MAX('Assumptions'!$D$118,D11*D29*1*D41*'Assumptions'!$D$145)+D55/D44*'Town forecast'!D44*MAX('Assumptions'!$D$118,D11*D29*D37*D41*'Assumptions'!$D$145)+D55/D44*'Town forecast'!D45*MAX('Assumptions'!$D$118,D11*D29*D38*D41*'Assumptions'!$D$145)+D55/D44*'Town forecast'!D46*MAX('Assumptions'!$D$118,D11*D30*1*D41*'Assumptions'!$D$145)+D55/D44*'Town forecast'!D47*MAX('Assumptions'!$D$118,D11*D30*D37*D41*'Assumptions'!$D$145)+D55/D44*'Town forecast'!D48*MAX('Assumptions'!$D$118,D11*D30*D38*D41*'Assumptions'!$D$145)</x:f>
        <x:v>0</x:v>
      </x:c>
      <x:c r="E88" s="63" t="n">
        <x:f>E51/E44*'Town forecast'!E40*MAX('Assumptions'!$D$118,E7*1*1*E41*'Assumptions'!$D$145)+E51/E44*'Town forecast'!E41*MAX('Assumptions'!$D$118,E7*1*E37*E41*'Assumptions'!$D$145)+E51/E44*'Town forecast'!E42*MAX('Assumptions'!$D$118,E7*1*E38*E41*'Assumptions'!$D$145)+E51/E44*'Town forecast'!E43*MAX('Assumptions'!$D$118,E7*E29*1*E41*'Assumptions'!$D$145)+E51/E44*'Town forecast'!E44*MAX('Assumptions'!$D$118,E7*E29*E37*E41*'Assumptions'!$D$145)+E51/E44*'Town forecast'!E45*MAX('Assumptions'!$D$118,E7*E29*E38*E41*'Assumptions'!$D$145)+E51/E44*'Town forecast'!E46*MAX('Assumptions'!$D$118,E7*E30*1*E41*'Assumptions'!$D$145)+E51/E44*'Town forecast'!E47*MAX('Assumptions'!$D$118,E7*E30*E37*E41*'Assumptions'!$D$145)+E51/E44*'Town forecast'!E48*MAX('Assumptions'!$D$118,E7*E30*E38*E41*'Assumptions'!$D$145)+E52/E44*'Town forecast'!E40*MAX('Assumptions'!$D$118,E8*1*1*E41*'Assumptions'!$D$145)+E52/E44*'Town forecast'!E41*MAX('Assumptions'!$D$118,E8*1*E37*E41*'Assumptions'!$D$145)+E52/E44*'Town forecast'!E42*MAX('Assumptions'!$D$118,E8*1*E38*E41*'Assumptions'!$D$145)+E52/E44*'Town forecast'!E43*MAX('Assumptions'!$D$118,E8*E29*1*E41*'Assumptions'!$D$145)+E52/E44*'Town forecast'!E44*MAX('Assumptions'!$D$118,E8*E29*E37*E41*'Assumptions'!$D$145)+E52/E44*'Town forecast'!E45*MAX('Assumptions'!$D$118,E8*E29*E38*E41*'Assumptions'!$D$145)+E52/E44*'Town forecast'!E46*MAX('Assumptions'!$D$118,E8*E30*1*E41*'Assumptions'!$D$145)+E52/E44*'Town forecast'!E47*MAX('Assumptions'!$D$118,E8*E30*E37*E41*'Assumptions'!$D$145)+E52/E44*'Town forecast'!E48*MAX('Assumptions'!$D$118,E8*E30*E38*E41*'Assumptions'!$D$145)+E53/E44*'Town forecast'!E40*MAX('Assumptions'!$D$118,E9*1*1*E41*'Assumptions'!$D$145)+E53/E44*'Town forecast'!E41*MAX('Assumptions'!$D$118,E9*1*E37*E41*'Assumptions'!$D$145)+E53/E44*'Town forecast'!E42*MAX('Assumptions'!$D$118,E9*1*E38*E41*'Assumptions'!$D$145)+E53/E44*'Town forecast'!E43*MAX('Assumptions'!$D$118,E9*E29*1*E41*'Assumptions'!$D$145)+E53/E44*'Town forecast'!E44*MAX('Assumptions'!$D$118,E9*E29*E37*E41*'Assumptions'!$D$145)+E53/E44*'Town forecast'!E45*MAX('Assumptions'!$D$118,E9*E29*E38*E41*'Assumptions'!$D$145)+E53/E44*'Town forecast'!E46*MAX('Assumptions'!$D$118,E9*E30*1*E41*'Assumptions'!$D$145)+E53/E44*'Town forecast'!E47*MAX('Assumptions'!$D$118,E9*E30*E37*E41*'Assumptions'!$D$145)+E53/E44*'Town forecast'!E48*MAX('Assumptions'!$D$118,E9*E30*E38*E41*'Assumptions'!$D$145)+E54/E44*'Town forecast'!E40*MAX('Assumptions'!$D$118,E10*1*1*E41*'Assumptions'!$D$145)+E54/E44*'Town forecast'!E41*MAX('Assumptions'!$D$118,E10*1*E37*E41*'Assumptions'!$D$145)+E54/E44*'Town forecast'!E42*MAX('Assumptions'!$D$118,E10*1*E38*E41*'Assumptions'!$D$145)+E54/E44*'Town forecast'!E43*MAX('Assumptions'!$D$118,E10*E29*1*E41*'Assumptions'!$D$145)+E54/E44*'Town forecast'!E44*MAX('Assumptions'!$D$118,E10*E29*E37*E41*'Assumptions'!$D$145)+E54/E44*'Town forecast'!E45*MAX('Assumptions'!$D$118,E10*E29*E38*E41*'Assumptions'!$D$145)+E54/E44*'Town forecast'!E46*MAX('Assumptions'!$D$118,E10*E30*1*E41*'Assumptions'!$D$145)+E54/E44*'Town forecast'!E47*MAX('Assumptions'!$D$118,E10*E30*E37*E41*'Assumptions'!$D$145)+E54/E44*'Town forecast'!E48*MAX('Assumptions'!$D$118,E10*E30*E38*E41*'Assumptions'!$D$145)+E55/E44*'Town forecast'!E40*MAX('Assumptions'!$D$118,E11*1*1*E41*'Assumptions'!$D$145)+E55/E44*'Town forecast'!E41*MAX('Assumptions'!$D$118,E11*1*E37*E41*'Assumptions'!$D$145)+E55/E44*'Town forecast'!E42*MAX('Assumptions'!$D$118,E11*1*E38*E41*'Assumptions'!$D$145)+E55/E44*'Town forecast'!E43*MAX('Assumptions'!$D$118,E11*E29*1*E41*'Assumptions'!$D$145)+E55/E44*'Town forecast'!E44*MAX('Assumptions'!$D$118,E11*E29*E37*E41*'Assumptions'!$D$145)+E55/E44*'Town forecast'!E45*MAX('Assumptions'!$D$118,E11*E29*E38*E41*'Assumptions'!$D$145)+E55/E44*'Town forecast'!E46*MAX('Assumptions'!$D$118,E11*E30*1*E41*'Assumptions'!$D$145)+E55/E44*'Town forecast'!E47*MAX('Assumptions'!$D$118,E11*E30*E37*E41*'Assumptions'!$D$145)+E55/E44*'Town forecast'!E48*MAX('Assumptions'!$D$118,E11*E30*E38*E41*'Assumptions'!$D$145)</x:f>
        <x:v>0</x:v>
      </x:c>
      <x:c r="F88" s="63" t="n">
        <x:f>F51/F44*'Town forecast'!F40*MAX('Assumptions'!$D$118,F7*1*1*F41*'Assumptions'!$D$145)+F51/F44*'Town forecast'!F41*MAX('Assumptions'!$D$118,F7*1*F37*F41*'Assumptions'!$D$145)+F51/F44*'Town forecast'!F42*MAX('Assumptions'!$D$118,F7*1*F38*F41*'Assumptions'!$D$145)+F51/F44*'Town forecast'!F43*MAX('Assumptions'!$D$118,F7*F29*1*F41*'Assumptions'!$D$145)+F51/F44*'Town forecast'!F44*MAX('Assumptions'!$D$118,F7*F29*F37*F41*'Assumptions'!$D$145)+F51/F44*'Town forecast'!F45*MAX('Assumptions'!$D$118,F7*F29*F38*F41*'Assumptions'!$D$145)+F51/F44*'Town forecast'!F46*MAX('Assumptions'!$D$118,F7*F30*1*F41*'Assumptions'!$D$145)+F51/F44*'Town forecast'!F47*MAX('Assumptions'!$D$118,F7*F30*F37*F41*'Assumptions'!$D$145)+F51/F44*'Town forecast'!F48*MAX('Assumptions'!$D$118,F7*F30*F38*F41*'Assumptions'!$D$145)+F52/F44*'Town forecast'!F40*MAX('Assumptions'!$D$118,F8*1*1*F41*'Assumptions'!$D$145)+F52/F44*'Town forecast'!F41*MAX('Assumptions'!$D$118,F8*1*F37*F41*'Assumptions'!$D$145)+F52/F44*'Town forecast'!F42*MAX('Assumptions'!$D$118,F8*1*F38*F41*'Assumptions'!$D$145)+F52/F44*'Town forecast'!F43*MAX('Assumptions'!$D$118,F8*F29*1*F41*'Assumptions'!$D$145)+F52/F44*'Town forecast'!F44*MAX('Assumptions'!$D$118,F8*F29*F37*F41*'Assumptions'!$D$145)+F52/F44*'Town forecast'!F45*MAX('Assumptions'!$D$118,F8*F29*F38*F41*'Assumptions'!$D$145)+F52/F44*'Town forecast'!F46*MAX('Assumptions'!$D$118,F8*F30*1*F41*'Assumptions'!$D$145)+F52/F44*'Town forecast'!F47*MAX('Assumptions'!$D$118,F8*F30*F37*F41*'Assumptions'!$D$145)+F52/F44*'Town forecast'!F48*MAX('Assumptions'!$D$118,F8*F30*F38*F41*'Assumptions'!$D$145)+F53/F44*'Town forecast'!F40*MAX('Assumptions'!$D$118,F9*1*1*F41*'Assumptions'!$D$145)+F53/F44*'Town forecast'!F41*MAX('Assumptions'!$D$118,F9*1*F37*F41*'Assumptions'!$D$145)+F53/F44*'Town forecast'!F42*MAX('Assumptions'!$D$118,F9*1*F38*F41*'Assumptions'!$D$145)+F53/F44*'Town forecast'!F43*MAX('Assumptions'!$D$118,F9*F29*1*F41*'Assumptions'!$D$145)+F53/F44*'Town forecast'!F44*MAX('Assumptions'!$D$118,F9*F29*F37*F41*'Assumptions'!$D$145)+F53/F44*'Town forecast'!F45*MAX('Assumptions'!$D$118,F9*F29*F38*F41*'Assumptions'!$D$145)+F53/F44*'Town forecast'!F46*MAX('Assumptions'!$D$118,F9*F30*1*F41*'Assumptions'!$D$145)+F53/F44*'Town forecast'!F47*MAX('Assumptions'!$D$118,F9*F30*F37*F41*'Assumptions'!$D$145)+F53/F44*'Town forecast'!F48*MAX('Assumptions'!$D$118,F9*F30*F38*F41*'Assumptions'!$D$145)+F54/F44*'Town forecast'!F40*MAX('Assumptions'!$D$118,F10*1*1*F41*'Assumptions'!$D$145)+F54/F44*'Town forecast'!F41*MAX('Assumptions'!$D$118,F10*1*F37*F41*'Assumptions'!$D$145)+F54/F44*'Town forecast'!F42*MAX('Assumptions'!$D$118,F10*1*F38*F41*'Assumptions'!$D$145)+F54/F44*'Town forecast'!F43*MAX('Assumptions'!$D$118,F10*F29*1*F41*'Assumptions'!$D$145)+F54/F44*'Town forecast'!F44*MAX('Assumptions'!$D$118,F10*F29*F37*F41*'Assumptions'!$D$145)+F54/F44*'Town forecast'!F45*MAX('Assumptions'!$D$118,F10*F29*F38*F41*'Assumptions'!$D$145)+F54/F44*'Town forecast'!F46*MAX('Assumptions'!$D$118,F10*F30*1*F41*'Assumptions'!$D$145)+F54/F44*'Town forecast'!F47*MAX('Assumptions'!$D$118,F10*F30*F37*F41*'Assumptions'!$D$145)+F54/F44*'Town forecast'!F48*MAX('Assumptions'!$D$118,F10*F30*F38*F41*'Assumptions'!$D$145)+F55/F44*'Town forecast'!F40*MAX('Assumptions'!$D$118,F11*1*1*F41*'Assumptions'!$D$145)+F55/F44*'Town forecast'!F41*MAX('Assumptions'!$D$118,F11*1*F37*F41*'Assumptions'!$D$145)+F55/F44*'Town forecast'!F42*MAX('Assumptions'!$D$118,F11*1*F38*F41*'Assumptions'!$D$145)+F55/F44*'Town forecast'!F43*MAX('Assumptions'!$D$118,F11*F29*1*F41*'Assumptions'!$D$145)+F55/F44*'Town forecast'!F44*MAX('Assumptions'!$D$118,F11*F29*F37*F41*'Assumptions'!$D$145)+F55/F44*'Town forecast'!F45*MAX('Assumptions'!$D$118,F11*F29*F38*F41*'Assumptions'!$D$145)+F55/F44*'Town forecast'!F46*MAX('Assumptions'!$D$118,F11*F30*1*F41*'Assumptions'!$D$145)+F55/F44*'Town forecast'!F47*MAX('Assumptions'!$D$118,F11*F30*F37*F41*'Assumptions'!$D$145)+F55/F44*'Town forecast'!F48*MAX('Assumptions'!$D$118,F11*F30*F38*F41*'Assumptions'!$D$145)</x:f>
        <x:v>0</x:v>
      </x:c>
      <x:c r="G88" s="63" t="n">
        <x:f>G51/G44*'Town forecast'!G40*MAX('Assumptions'!$D$118,G7*1*1*G41*'Assumptions'!$D$145)+G51/G44*'Town forecast'!G41*MAX('Assumptions'!$D$118,G7*1*G37*G41*'Assumptions'!$D$145)+G51/G44*'Town forecast'!G42*MAX('Assumptions'!$D$118,G7*1*G38*G41*'Assumptions'!$D$145)+G51/G44*'Town forecast'!G43*MAX('Assumptions'!$D$118,G7*G29*1*G41*'Assumptions'!$D$145)+G51/G44*'Town forecast'!G44*MAX('Assumptions'!$D$118,G7*G29*G37*G41*'Assumptions'!$D$145)+G51/G44*'Town forecast'!G45*MAX('Assumptions'!$D$118,G7*G29*G38*G41*'Assumptions'!$D$145)+G51/G44*'Town forecast'!G46*MAX('Assumptions'!$D$118,G7*G30*1*G41*'Assumptions'!$D$145)+G51/G44*'Town forecast'!G47*MAX('Assumptions'!$D$118,G7*G30*G37*G41*'Assumptions'!$D$145)+G51/G44*'Town forecast'!G48*MAX('Assumptions'!$D$118,G7*G30*G38*G41*'Assumptions'!$D$145)+G52/G44*'Town forecast'!G40*MAX('Assumptions'!$D$118,G8*1*1*G41*'Assumptions'!$D$145)+G52/G44*'Town forecast'!G41*MAX('Assumptions'!$D$118,G8*1*G37*G41*'Assumptions'!$D$145)+G52/G44*'Town forecast'!G42*MAX('Assumptions'!$D$118,G8*1*G38*G41*'Assumptions'!$D$145)+G52/G44*'Town forecast'!G43*MAX('Assumptions'!$D$118,G8*G29*1*G41*'Assumptions'!$D$145)+G52/G44*'Town forecast'!G44*MAX('Assumptions'!$D$118,G8*G29*G37*G41*'Assumptions'!$D$145)+G52/G44*'Town forecast'!G45*MAX('Assumptions'!$D$118,G8*G29*G38*G41*'Assumptions'!$D$145)+G52/G44*'Town forecast'!G46*MAX('Assumptions'!$D$118,G8*G30*1*G41*'Assumptions'!$D$145)+G52/G44*'Town forecast'!G47*MAX('Assumptions'!$D$118,G8*G30*G37*G41*'Assumptions'!$D$145)+G52/G44*'Town forecast'!G48*MAX('Assumptions'!$D$118,G8*G30*G38*G41*'Assumptions'!$D$145)+G53/G44*'Town forecast'!G40*MAX('Assumptions'!$D$118,G9*1*1*G41*'Assumptions'!$D$145)+G53/G44*'Town forecast'!G41*MAX('Assumptions'!$D$118,G9*1*G37*G41*'Assumptions'!$D$145)+G53/G44*'Town forecast'!G42*MAX('Assumptions'!$D$118,G9*1*G38*G41*'Assumptions'!$D$145)+G53/G44*'Town forecast'!G43*MAX('Assumptions'!$D$118,G9*G29*1*G41*'Assumptions'!$D$145)+G53/G44*'Town forecast'!G44*MAX('Assumptions'!$D$118,G9*G29*G37*G41*'Assumptions'!$D$145)+G53/G44*'Town forecast'!G45*MAX('Assumptions'!$D$118,G9*G29*G38*G41*'Assumptions'!$D$145)+G53/G44*'Town forecast'!G46*MAX('Assumptions'!$D$118,G9*G30*1*G41*'Assumptions'!$D$145)+G53/G44*'Town forecast'!G47*MAX('Assumptions'!$D$118,G9*G30*G37*G41*'Assumptions'!$D$145)+G53/G44*'Town forecast'!G48*MAX('Assumptions'!$D$118,G9*G30*G38*G41*'Assumptions'!$D$145)+G54/G44*'Town forecast'!G40*MAX('Assumptions'!$D$118,G10*1*1*G41*'Assumptions'!$D$145)+G54/G44*'Town forecast'!G41*MAX('Assumptions'!$D$118,G10*1*G37*G41*'Assumptions'!$D$145)+G54/G44*'Town forecast'!G42*MAX('Assumptions'!$D$118,G10*1*G38*G41*'Assumptions'!$D$145)+G54/G44*'Town forecast'!G43*MAX('Assumptions'!$D$118,G10*G29*1*G41*'Assumptions'!$D$145)+G54/G44*'Town forecast'!G44*MAX('Assumptions'!$D$118,G10*G29*G37*G41*'Assumptions'!$D$145)+G54/G44*'Town forecast'!G45*MAX('Assumptions'!$D$118,G10*G29*G38*G41*'Assumptions'!$D$145)+G54/G44*'Town forecast'!G46*MAX('Assumptions'!$D$118,G10*G30*1*G41*'Assumptions'!$D$145)+G54/G44*'Town forecast'!G47*MAX('Assumptions'!$D$118,G10*G30*G37*G41*'Assumptions'!$D$145)+G54/G44*'Town forecast'!G48*MAX('Assumptions'!$D$118,G10*G30*G38*G41*'Assumptions'!$D$145)+G55/G44*'Town forecast'!G40*MAX('Assumptions'!$D$118,G11*1*1*G41*'Assumptions'!$D$145)+G55/G44*'Town forecast'!G41*MAX('Assumptions'!$D$118,G11*1*G37*G41*'Assumptions'!$D$145)+G55/G44*'Town forecast'!G42*MAX('Assumptions'!$D$118,G11*1*G38*G41*'Assumptions'!$D$145)+G55/G44*'Town forecast'!G43*MAX('Assumptions'!$D$118,G11*G29*1*G41*'Assumptions'!$D$145)+G55/G44*'Town forecast'!G44*MAX('Assumptions'!$D$118,G11*G29*G37*G41*'Assumptions'!$D$145)+G55/G44*'Town forecast'!G45*MAX('Assumptions'!$D$118,G11*G29*G38*G41*'Assumptions'!$D$145)+G55/G44*'Town forecast'!G46*MAX('Assumptions'!$D$118,G11*G30*1*G41*'Assumptions'!$D$145)+G55/G44*'Town forecast'!G47*MAX('Assumptions'!$D$118,G11*G30*G37*G41*'Assumptions'!$D$145)+G55/G44*'Town forecast'!G48*MAX('Assumptions'!$D$118,G11*G30*G38*G41*'Assumptions'!$D$145)</x:f>
        <x:v>0</x:v>
      </x:c>
      <x:c r="H88" s="63" t="n">
        <x:f>H51/H44*'Town forecast'!H40*MAX('Assumptions'!$D$118,H7*1*1*H41*'Assumptions'!$D$145)+H51/H44*'Town forecast'!H41*MAX('Assumptions'!$D$118,H7*1*H37*H41*'Assumptions'!$D$145)+H51/H44*'Town forecast'!H42*MAX('Assumptions'!$D$118,H7*1*H38*H41*'Assumptions'!$D$145)+H51/H44*'Town forecast'!H43*MAX('Assumptions'!$D$118,H7*H29*1*H41*'Assumptions'!$D$145)+H51/H44*'Town forecast'!H44*MAX('Assumptions'!$D$118,H7*H29*H37*H41*'Assumptions'!$D$145)+H51/H44*'Town forecast'!H45*MAX('Assumptions'!$D$118,H7*H29*H38*H41*'Assumptions'!$D$145)+H51/H44*'Town forecast'!H46*MAX('Assumptions'!$D$118,H7*H30*1*H41*'Assumptions'!$D$145)+H51/H44*'Town forecast'!H47*MAX('Assumptions'!$D$118,H7*H30*H37*H41*'Assumptions'!$D$145)+H51/H44*'Town forecast'!H48*MAX('Assumptions'!$D$118,H7*H30*H38*H41*'Assumptions'!$D$145)+H52/H44*'Town forecast'!H40*MAX('Assumptions'!$D$118,H8*1*1*H41*'Assumptions'!$D$145)+H52/H44*'Town forecast'!H41*MAX('Assumptions'!$D$118,H8*1*H37*H41*'Assumptions'!$D$145)+H52/H44*'Town forecast'!H42*MAX('Assumptions'!$D$118,H8*1*H38*H41*'Assumptions'!$D$145)+H52/H44*'Town forecast'!H43*MAX('Assumptions'!$D$118,H8*H29*1*H41*'Assumptions'!$D$145)+H52/H44*'Town forecast'!H44*MAX('Assumptions'!$D$118,H8*H29*H37*H41*'Assumptions'!$D$145)+H52/H44*'Town forecast'!H45*MAX('Assumptions'!$D$118,H8*H29*H38*H41*'Assumptions'!$D$145)+H52/H44*'Town forecast'!H46*MAX('Assumptions'!$D$118,H8*H30*1*H41*'Assumptions'!$D$145)+H52/H44*'Town forecast'!H47*MAX('Assumptions'!$D$118,H8*H30*H37*H41*'Assumptions'!$D$145)+H52/H44*'Town forecast'!H48*MAX('Assumptions'!$D$118,H8*H30*H38*H41*'Assumptions'!$D$145)+H53/H44*'Town forecast'!H40*MAX('Assumptions'!$D$118,H9*1*1*H41*'Assumptions'!$D$145)+H53/H44*'Town forecast'!H41*MAX('Assumptions'!$D$118,H9*1*H37*H41*'Assumptions'!$D$145)+H53/H44*'Town forecast'!H42*MAX('Assumptions'!$D$118,H9*1*H38*H41*'Assumptions'!$D$145)+H53/H44*'Town forecast'!H43*MAX('Assumptions'!$D$118,H9*H29*1*H41*'Assumptions'!$D$145)+H53/H44*'Town forecast'!H44*MAX('Assumptions'!$D$118,H9*H29*H37*H41*'Assumptions'!$D$145)+H53/H44*'Town forecast'!H45*MAX('Assumptions'!$D$118,H9*H29*H38*H41*'Assumptions'!$D$145)+H53/H44*'Town forecast'!H46*MAX('Assumptions'!$D$118,H9*H30*1*H41*'Assumptions'!$D$145)+H53/H44*'Town forecast'!H47*MAX('Assumptions'!$D$118,H9*H30*H37*H41*'Assumptions'!$D$145)+H53/H44*'Town forecast'!H48*MAX('Assumptions'!$D$118,H9*H30*H38*H41*'Assumptions'!$D$145)+H54/H44*'Town forecast'!H40*MAX('Assumptions'!$D$118,H10*1*1*H41*'Assumptions'!$D$145)+H54/H44*'Town forecast'!H41*MAX('Assumptions'!$D$118,H10*1*H37*H41*'Assumptions'!$D$145)+H54/H44*'Town forecast'!H42*MAX('Assumptions'!$D$118,H10*1*H38*H41*'Assumptions'!$D$145)+H54/H44*'Town forecast'!H43*MAX('Assumptions'!$D$118,H10*H29*1*H41*'Assumptions'!$D$145)+H54/H44*'Town forecast'!H44*MAX('Assumptions'!$D$118,H10*H29*H37*H41*'Assumptions'!$D$145)+H54/H44*'Town forecast'!H45*MAX('Assumptions'!$D$118,H10*H29*H38*H41*'Assumptions'!$D$145)+H54/H44*'Town forecast'!H46*MAX('Assumptions'!$D$118,H10*H30*1*H41*'Assumptions'!$D$145)+H54/H44*'Town forecast'!H47*MAX('Assumptions'!$D$118,H10*H30*H37*H41*'Assumptions'!$D$145)+H54/H44*'Town forecast'!H48*MAX('Assumptions'!$D$118,H10*H30*H38*H41*'Assumptions'!$D$145)+H55/H44*'Town forecast'!H40*MAX('Assumptions'!$D$118,H11*1*1*H41*'Assumptions'!$D$145)+H55/H44*'Town forecast'!H41*MAX('Assumptions'!$D$118,H11*1*H37*H41*'Assumptions'!$D$145)+H55/H44*'Town forecast'!H42*MAX('Assumptions'!$D$118,H11*1*H38*H41*'Assumptions'!$D$145)+H55/H44*'Town forecast'!H43*MAX('Assumptions'!$D$118,H11*H29*1*H41*'Assumptions'!$D$145)+H55/H44*'Town forecast'!H44*MAX('Assumptions'!$D$118,H11*H29*H37*H41*'Assumptions'!$D$145)+H55/H44*'Town forecast'!H45*MAX('Assumptions'!$D$118,H11*H29*H38*H41*'Assumptions'!$D$145)+H55/H44*'Town forecast'!H46*MAX('Assumptions'!$D$118,H11*H30*1*H41*'Assumptions'!$D$145)+H55/H44*'Town forecast'!H47*MAX('Assumptions'!$D$118,H11*H30*H37*H41*'Assumptions'!$D$145)+H55/H44*'Town forecast'!H48*MAX('Assumptions'!$D$118,H11*H30*H38*H41*'Assumptions'!$D$145)</x:f>
        <x:v>0</x:v>
      </x:c>
      <x:c r="I88" s="63" t="n">
        <x:f>I51/I44*'Town forecast'!I40*MAX('Assumptions'!$D$118,I7*1*1*I41*'Assumptions'!$D$145)+I51/I44*'Town forecast'!I41*MAX('Assumptions'!$D$118,I7*1*I37*I41*'Assumptions'!$D$145)+I51/I44*'Town forecast'!I42*MAX('Assumptions'!$D$118,I7*1*I38*I41*'Assumptions'!$D$145)+I51/I44*'Town forecast'!I43*MAX('Assumptions'!$D$118,I7*I29*1*I41*'Assumptions'!$D$145)+I51/I44*'Town forecast'!I44*MAX('Assumptions'!$D$118,I7*I29*I37*I41*'Assumptions'!$D$145)+I51/I44*'Town forecast'!I45*MAX('Assumptions'!$D$118,I7*I29*I38*I41*'Assumptions'!$D$145)+I51/I44*'Town forecast'!I46*MAX('Assumptions'!$D$118,I7*I30*1*I41*'Assumptions'!$D$145)+I51/I44*'Town forecast'!I47*MAX('Assumptions'!$D$118,I7*I30*I37*I41*'Assumptions'!$D$145)+I51/I44*'Town forecast'!I48*MAX('Assumptions'!$D$118,I7*I30*I38*I41*'Assumptions'!$D$145)+I52/I44*'Town forecast'!I40*MAX('Assumptions'!$D$118,I8*1*1*I41*'Assumptions'!$D$145)+I52/I44*'Town forecast'!I41*MAX('Assumptions'!$D$118,I8*1*I37*I41*'Assumptions'!$D$145)+I52/I44*'Town forecast'!I42*MAX('Assumptions'!$D$118,I8*1*I38*I41*'Assumptions'!$D$145)+I52/I44*'Town forecast'!I43*MAX('Assumptions'!$D$118,I8*I29*1*I41*'Assumptions'!$D$145)+I52/I44*'Town forecast'!I44*MAX('Assumptions'!$D$118,I8*I29*I37*I41*'Assumptions'!$D$145)+I52/I44*'Town forecast'!I45*MAX('Assumptions'!$D$118,I8*I29*I38*I41*'Assumptions'!$D$145)+I52/I44*'Town forecast'!I46*MAX('Assumptions'!$D$118,I8*I30*1*I41*'Assumptions'!$D$145)+I52/I44*'Town forecast'!I47*MAX('Assumptions'!$D$118,I8*I30*I37*I41*'Assumptions'!$D$145)+I52/I44*'Town forecast'!I48*MAX('Assumptions'!$D$118,I8*I30*I38*I41*'Assumptions'!$D$145)+I53/I44*'Town forecast'!I40*MAX('Assumptions'!$D$118,I9*1*1*I41*'Assumptions'!$D$145)+I53/I44*'Town forecast'!I41*MAX('Assumptions'!$D$118,I9*1*I37*I41*'Assumptions'!$D$145)+I53/I44*'Town forecast'!I42*MAX('Assumptions'!$D$118,I9*1*I38*I41*'Assumptions'!$D$145)+I53/I44*'Town forecast'!I43*MAX('Assumptions'!$D$118,I9*I29*1*I41*'Assumptions'!$D$145)+I53/I44*'Town forecast'!I44*MAX('Assumptions'!$D$118,I9*I29*I37*I41*'Assumptions'!$D$145)+I53/I44*'Town forecast'!I45*MAX('Assumptions'!$D$118,I9*I29*I38*I41*'Assumptions'!$D$145)+I53/I44*'Town forecast'!I46*MAX('Assumptions'!$D$118,I9*I30*1*I41*'Assumptions'!$D$145)+I53/I44*'Town forecast'!I47*MAX('Assumptions'!$D$118,I9*I30*I37*I41*'Assumptions'!$D$145)+I53/I44*'Town forecast'!I48*MAX('Assumptions'!$D$118,I9*I30*I38*I41*'Assumptions'!$D$145)+I54/I44*'Town forecast'!I40*MAX('Assumptions'!$D$118,I10*1*1*I41*'Assumptions'!$D$145)+I54/I44*'Town forecast'!I41*MAX('Assumptions'!$D$118,I10*1*I37*I41*'Assumptions'!$D$145)+I54/I44*'Town forecast'!I42*MAX('Assumptions'!$D$118,I10*1*I38*I41*'Assumptions'!$D$145)+I54/I44*'Town forecast'!I43*MAX('Assumptions'!$D$118,I10*I29*1*I41*'Assumptions'!$D$145)+I54/I44*'Town forecast'!I44*MAX('Assumptions'!$D$118,I10*I29*I37*I41*'Assumptions'!$D$145)+I54/I44*'Town forecast'!I45*MAX('Assumptions'!$D$118,I10*I29*I38*I41*'Assumptions'!$D$145)+I54/I44*'Town forecast'!I46*MAX('Assumptions'!$D$118,I10*I30*1*I41*'Assumptions'!$D$145)+I54/I44*'Town forecast'!I47*MAX('Assumptions'!$D$118,I10*I30*I37*I41*'Assumptions'!$D$145)+I54/I44*'Town forecast'!I48*MAX('Assumptions'!$D$118,I10*I30*I38*I41*'Assumptions'!$D$145)+I55/I44*'Town forecast'!I40*MAX('Assumptions'!$D$118,I11*1*1*I41*'Assumptions'!$D$145)+I55/I44*'Town forecast'!I41*MAX('Assumptions'!$D$118,I11*1*I37*I41*'Assumptions'!$D$145)+I55/I44*'Town forecast'!I42*MAX('Assumptions'!$D$118,I11*1*I38*I41*'Assumptions'!$D$145)+I55/I44*'Town forecast'!I43*MAX('Assumptions'!$D$118,I11*I29*1*I41*'Assumptions'!$D$145)+I55/I44*'Town forecast'!I44*MAX('Assumptions'!$D$118,I11*I29*I37*I41*'Assumptions'!$D$145)+I55/I44*'Town forecast'!I45*MAX('Assumptions'!$D$118,I11*I29*I38*I41*'Assumptions'!$D$145)+I55/I44*'Town forecast'!I46*MAX('Assumptions'!$D$118,I11*I30*1*I41*'Assumptions'!$D$145)+I55/I44*'Town forecast'!I47*MAX('Assumptions'!$D$118,I11*I30*I37*I41*'Assumptions'!$D$145)+I55/I44*'Town forecast'!I48*MAX('Assumptions'!$D$118,I11*I30*I38*I41*'Assumptions'!$D$145)</x:f>
        <x:v>0</x:v>
      </x:c>
      <x:c r="J88" s="63" t="n">
        <x:f>J51/J44*'Town forecast'!J40*MAX('Assumptions'!$D$118,J7*1*1*J41*'Assumptions'!$D$145)+J51/J44*'Town forecast'!J41*MAX('Assumptions'!$D$118,J7*1*J37*J41*'Assumptions'!$D$145)+J51/J44*'Town forecast'!J42*MAX('Assumptions'!$D$118,J7*1*J38*J41*'Assumptions'!$D$145)+J51/J44*'Town forecast'!J43*MAX('Assumptions'!$D$118,J7*J29*1*J41*'Assumptions'!$D$145)+J51/J44*'Town forecast'!J44*MAX('Assumptions'!$D$118,J7*J29*J37*J41*'Assumptions'!$D$145)+J51/J44*'Town forecast'!J45*MAX('Assumptions'!$D$118,J7*J29*J38*J41*'Assumptions'!$D$145)+J51/J44*'Town forecast'!J46*MAX('Assumptions'!$D$118,J7*J30*1*J41*'Assumptions'!$D$145)+J51/J44*'Town forecast'!J47*MAX('Assumptions'!$D$118,J7*J30*J37*J41*'Assumptions'!$D$145)+J51/J44*'Town forecast'!J48*MAX('Assumptions'!$D$118,J7*J30*J38*J41*'Assumptions'!$D$145)+J52/J44*'Town forecast'!J40*MAX('Assumptions'!$D$118,J8*1*1*J41*'Assumptions'!$D$145)+J52/J44*'Town forecast'!J41*MAX('Assumptions'!$D$118,J8*1*J37*J41*'Assumptions'!$D$145)+J52/J44*'Town forecast'!J42*MAX('Assumptions'!$D$118,J8*1*J38*J41*'Assumptions'!$D$145)+J52/J44*'Town forecast'!J43*MAX('Assumptions'!$D$118,J8*J29*1*J41*'Assumptions'!$D$145)+J52/J44*'Town forecast'!J44*MAX('Assumptions'!$D$118,J8*J29*J37*J41*'Assumptions'!$D$145)+J52/J44*'Town forecast'!J45*MAX('Assumptions'!$D$118,J8*J29*J38*J41*'Assumptions'!$D$145)+J52/J44*'Town forecast'!J46*MAX('Assumptions'!$D$118,J8*J30*1*J41*'Assumptions'!$D$145)+J52/J44*'Town forecast'!J47*MAX('Assumptions'!$D$118,J8*J30*J37*J41*'Assumptions'!$D$145)+J52/J44*'Town forecast'!J48*MAX('Assumptions'!$D$118,J8*J30*J38*J41*'Assumptions'!$D$145)+J53/J44*'Town forecast'!J40*MAX('Assumptions'!$D$118,J9*1*1*J41*'Assumptions'!$D$145)+J53/J44*'Town forecast'!J41*MAX('Assumptions'!$D$118,J9*1*J37*J41*'Assumptions'!$D$145)+J53/J44*'Town forecast'!J42*MAX('Assumptions'!$D$118,J9*1*J38*J41*'Assumptions'!$D$145)+J53/J44*'Town forecast'!J43*MAX('Assumptions'!$D$118,J9*J29*1*J41*'Assumptions'!$D$145)+J53/J44*'Town forecast'!J44*MAX('Assumptions'!$D$118,J9*J29*J37*J41*'Assumptions'!$D$145)+J53/J44*'Town forecast'!J45*MAX('Assumptions'!$D$118,J9*J29*J38*J41*'Assumptions'!$D$145)+J53/J44*'Town forecast'!J46*MAX('Assumptions'!$D$118,J9*J30*1*J41*'Assumptions'!$D$145)+J53/J44*'Town forecast'!J47*MAX('Assumptions'!$D$118,J9*J30*J37*J41*'Assumptions'!$D$145)+J53/J44*'Town forecast'!J48*MAX('Assumptions'!$D$118,J9*J30*J38*J41*'Assumptions'!$D$145)+J54/J44*'Town forecast'!J40*MAX('Assumptions'!$D$118,J10*1*1*J41*'Assumptions'!$D$145)+J54/J44*'Town forecast'!J41*MAX('Assumptions'!$D$118,J10*1*J37*J41*'Assumptions'!$D$145)+J54/J44*'Town forecast'!J42*MAX('Assumptions'!$D$118,J10*1*J38*J41*'Assumptions'!$D$145)+J54/J44*'Town forecast'!J43*MAX('Assumptions'!$D$118,J10*J29*1*J41*'Assumptions'!$D$145)+J54/J44*'Town forecast'!J44*MAX('Assumptions'!$D$118,J10*J29*J37*J41*'Assumptions'!$D$145)+J54/J44*'Town forecast'!J45*MAX('Assumptions'!$D$118,J10*J29*J38*J41*'Assumptions'!$D$145)+J54/J44*'Town forecast'!J46*MAX('Assumptions'!$D$118,J10*J30*1*J41*'Assumptions'!$D$145)+J54/J44*'Town forecast'!J47*MAX('Assumptions'!$D$118,J10*J30*J37*J41*'Assumptions'!$D$145)+J54/J44*'Town forecast'!J48*MAX('Assumptions'!$D$118,J10*J30*J38*J41*'Assumptions'!$D$145)+J55/J44*'Town forecast'!J40*MAX('Assumptions'!$D$118,J11*1*1*J41*'Assumptions'!$D$145)+J55/J44*'Town forecast'!J41*MAX('Assumptions'!$D$118,J11*1*J37*J41*'Assumptions'!$D$145)+J55/J44*'Town forecast'!J42*MAX('Assumptions'!$D$118,J11*1*J38*J41*'Assumptions'!$D$145)+J55/J44*'Town forecast'!J43*MAX('Assumptions'!$D$118,J11*J29*1*J41*'Assumptions'!$D$145)+J55/J44*'Town forecast'!J44*MAX('Assumptions'!$D$118,J11*J29*J37*J41*'Assumptions'!$D$145)+J55/J44*'Town forecast'!J45*MAX('Assumptions'!$D$118,J11*J29*J38*J41*'Assumptions'!$D$145)+J55/J44*'Town forecast'!J46*MAX('Assumptions'!$D$118,J11*J30*1*J41*'Assumptions'!$D$145)+J55/J44*'Town forecast'!J47*MAX('Assumptions'!$D$118,J11*J30*J37*J41*'Assumptions'!$D$145)+J55/J44*'Town forecast'!J48*MAX('Assumptions'!$D$118,J11*J30*J38*J41*'Assumptions'!$D$145)</x:f>
        <x:v>0</x:v>
      </x:c>
      <x:c r="K88" s="1"/>
      <x:c r="L88" s="1"/>
      <x:c r="M88" s="1"/>
    </x:row>
    <x:row r="89" ht="22" customHeight="1">
      <x:c r="A89" s="1"/>
      <x:c r="B89" s="1"/>
      <x:c r="C89" s="1"/>
      <x:c r="D89" s="6"/>
      <x:c r="E89" s="6"/>
      <x:c r="F89" s="6"/>
      <x:c r="G89" s="6"/>
      <x:c r="H89" s="6"/>
      <x:c r="I89" s="6"/>
      <x:c r="J89" s="6"/>
      <x:c r="K89" s="1"/>
      <x:c r="L89" s="1"/>
      <x:c r="M89" s="1"/>
    </x:row>
    <x:row r="90" ht="22" customHeight="1">
      <x:c r="A90" s="1"/>
      <x:c r="B90" s="1"/>
      <x:c r="C90" s="1"/>
      <x:c r="D90" s="6"/>
      <x:c r="E90" s="6"/>
      <x:c r="F90" s="6"/>
      <x:c r="G90" s="6"/>
      <x:c r="H90" s="6"/>
      <x:c r="I90" s="6"/>
      <x:c r="J90" s="6"/>
      <x:c r="K90" s="1"/>
      <x:c r="L90" s="1"/>
      <x:c r="M90" s="1"/>
    </x:row>
    <x:row r="91" ht="22" customHeight="1">
      <x:c r="A91" s="1"/>
      <x:c r="B91" s="1"/>
      <x:c r="C91" s="1"/>
      <x:c r="D91" s="6"/>
      <x:c r="E91" s="6"/>
      <x:c r="F91" s="6"/>
      <x:c r="G91" s="6"/>
      <x:c r="H91" s="6"/>
      <x:c r="I91" s="6"/>
      <x:c r="J91" s="6"/>
      <x:c r="K91" s="1"/>
      <x:c r="L91" s="1"/>
      <x:c r="M91" s="1"/>
    </x:row>
    <x:row r="92" ht="22" customHeight="1">
      <x:c r="A92" s="1"/>
      <x:c r="B92" s="1"/>
      <x:c r="C92" s="1"/>
      <x:c r="D92" s="6"/>
      <x:c r="E92" s="6"/>
      <x:c r="F92" s="6"/>
      <x:c r="G92" s="6"/>
      <x:c r="H92" s="6"/>
      <x:c r="I92" s="6"/>
      <x:c r="J92" s="6"/>
      <x:c r="K92" s="1"/>
      <x:c r="L92" s="1"/>
      <x:c r="M92" s="1"/>
    </x:row>
  </x:sheetData>
  <x:mergeCells>
    <x:mergeCell ref="C73:J74"/>
    <x:mergeCell ref="C76:J77"/>
    <x:mergeCell ref="C79:J80"/>
  </x:mergeCells>
  <x:conditionalFormatting sqref="D49:J49">
    <x:cfRule type="expression" dxfId="0" priority="1">
      <x:formula>ABS(D49)&gt;0.000001</x:formula>
    </x:cfRule>
  </x:conditionalFormatting>
  <x:conditionalFormatting sqref="D69:J69">
    <x:cfRule type="expression" dxfId="1" priority="2">
      <x:formula>ABS(D69)&gt;0.000001</x:formula>
    </x:cfRule>
  </x:conditionalFormatting>
  <x:conditionalFormatting sqref="D70:J70">
    <x:cfRule type="expression" dxfId="2" priority="3">
      <x:formula>ABS(D70)&gt;0.000001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Payment costs and build decision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Growth case</x:v>
      </x:c>
      <x:c r="D3" s="59" t="str">
        <x:f>'Assumptions'!D3</x:f>
        <x:v>Base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 t="str">
        <x:v>Own-engine live year / 0 = retain Stripe</x:v>
      </x:c>
      <x:c r="D4" s="9" t="n">
        <x:v>0</x:v>
      </x:c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str">
        <x:v>Assumption</x:v>
      </x:c>
      <x:c r="E5" s="81"/>
      <x:c r="F5" s="81"/>
      <x:c r="G5" s="81"/>
      <x:c r="H5" s="81"/>
      <x:c r="I5" s="81"/>
      <x:c r="J5" s="81"/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Alternative card rate incl. network cost</x:v>
      </x:c>
      <x:c r="D7" s="29" t="n">
        <x:v>0.0235</x:v>
      </x:c>
      <x:c r="E7" s="6"/>
      <x:c r="F7" s="6"/>
      <x:c r="G7" s="6"/>
      <x:c r="H7" s="6"/>
      <x:c r="I7" s="6"/>
      <x:c r="J7" s="6"/>
      <x:c r="K7" s="1"/>
      <x:c r="L7" s="1"/>
      <x:c r="M7" s="1"/>
    </x:row>
    <x:row r="8" ht="22" customHeight="1">
      <x:c r="A8" s="1"/>
      <x:c r="B8" s="1"/>
      <x:c r="C8" s="1" t="str">
        <x:v>Alternative card fixed cost</x:v>
      </x:c>
      <x:c r="D8" s="27" t="n">
        <x:v>0.12</x:v>
      </x:c>
      <x:c r="E8" s="6"/>
      <x:c r="F8" s="6"/>
      <x:c r="G8" s="6"/>
      <x:c r="H8" s="6"/>
      <x:c r="I8" s="6"/>
      <x:c r="J8" s="6"/>
      <x:c r="K8" s="1"/>
      <x:c r="L8" s="1"/>
      <x:c r="M8" s="1"/>
    </x:row>
    <x:row r="9" ht="22" customHeight="1">
      <x:c r="A9" s="1"/>
      <x:c r="B9" s="1"/>
      <x:c r="C9" s="1" t="str">
        <x:v>Alternative ACH percentage</x:v>
      </x:c>
      <x:c r="D9" s="29" t="n">
        <x:v>0.001</x:v>
      </x:c>
      <x:c r="E9" s="6"/>
      <x:c r="F9" s="6"/>
      <x:c r="G9" s="6"/>
      <x:c r="H9" s="6"/>
      <x:c r="I9" s="6"/>
      <x:c r="J9" s="6"/>
      <x:c r="K9" s="1"/>
      <x:c r="L9" s="1"/>
      <x:c r="M9" s="1"/>
    </x:row>
    <x:row r="10" ht="22" customHeight="1">
      <x:c r="A10" s="1"/>
      <x:c r="B10" s="1"/>
      <x:c r="C10" s="1" t="str">
        <x:v>Alternative ACH fixed cost</x:v>
      </x:c>
      <x:c r="D10" s="27" t="n">
        <x:v>0.25</x:v>
      </x:c>
      <x:c r="E10" s="6"/>
      <x:c r="F10" s="6"/>
      <x:c r="G10" s="6"/>
      <x:c r="H10" s="6"/>
      <x:c r="I10" s="6"/>
      <x:c r="J10" s="6"/>
      <x:c r="K10" s="1"/>
      <x:c r="L10" s="1"/>
      <x:c r="M10" s="1"/>
    </x:row>
    <x:row r="11" ht="22" customHeight="1">
      <x:c r="A11" s="1"/>
      <x:c r="B11" s="1"/>
      <x:c r="C11" s="1" t="str">
        <x:v>Alternative ACH total cap</x:v>
      </x:c>
      <x:c r="D11" s="27" t="n">
        <x:v>1.5</x:v>
      </x:c>
      <x:c r="E11" s="6"/>
      <x:c r="F11" s="6"/>
      <x:c r="G11" s="6"/>
      <x:c r="H11" s="6"/>
      <x:c r="I11" s="6"/>
      <x:c r="J11" s="6"/>
      <x:c r="K11" s="1"/>
      <x:c r="L11" s="1"/>
      <x:c r="M11" s="1"/>
    </x:row>
    <x:row r="12" ht="22" customHeight="1">
      <x:c r="A12" s="1"/>
      <x:c r="B12" s="1"/>
      <x:c r="C12" s="1" t="str">
        <x:v>Alternative payout-volume rate</x:v>
      </x:c>
      <x:c r="D12" s="29" t="n">
        <x:v>0.001</x:v>
      </x:c>
      <x:c r="E12" s="6"/>
      <x:c r="F12" s="6"/>
      <x:c r="G12" s="6"/>
      <x:c r="H12" s="6"/>
      <x:c r="I12" s="6"/>
      <x:c r="J12" s="6"/>
      <x:c r="K12" s="1"/>
      <x:c r="L12" s="1"/>
      <x:c r="M12" s="1"/>
    </x:row>
    <x:row r="13" ht="22" customHeight="1">
      <x:c r="A13" s="1"/>
      <x:c r="B13" s="1"/>
      <x:c r="C13" s="1" t="str">
        <x:v>Alternative cost / payout</x:v>
      </x:c>
      <x:c r="D13" s="27" t="n">
        <x:v>0.1</x:v>
      </x:c>
      <x:c r="E13" s="6"/>
      <x:c r="F13" s="6"/>
      <x:c r="G13" s="6"/>
      <x:c r="H13" s="6"/>
      <x:c r="I13" s="6"/>
      <x:c r="J13" s="6"/>
      <x:c r="K13" s="1"/>
      <x:c r="L13" s="1"/>
      <x:c r="M13" s="1"/>
    </x:row>
    <x:row r="14" ht="22" customHeight="1">
      <x:c r="A14" s="1"/>
      <x:c r="B14" s="1"/>
      <x:c r="C14" s="1" t="str">
        <x:v>Alternative cost / active account month</x:v>
      </x:c>
      <x:c r="D14" s="27" t="n">
        <x:v>1</x:v>
      </x:c>
      <x:c r="E14" s="6"/>
      <x:c r="F14" s="6"/>
      <x:c r="G14" s="6"/>
      <x:c r="H14" s="6"/>
      <x:c r="I14" s="6"/>
      <x:c r="J14" s="6"/>
      <x:c r="K14" s="1"/>
      <x:c r="L14" s="1"/>
      <x:c r="M14" s="1"/>
    </x:row>
    <x:row r="15" ht="22" customHeight="1">
      <x:c r="A15" s="1"/>
      <x:c r="B15" s="1"/>
      <x:c r="C15" s="1" t="str">
        <x:v>Total build and migration cost</x:v>
      </x:c>
      <x:c r="D15" s="23" t="n">
        <x:v>600000</x:v>
      </x:c>
      <x:c r="E15" s="6"/>
      <x:c r="F15" s="6"/>
      <x:c r="G15" s="6"/>
      <x:c r="H15" s="6"/>
      <x:c r="I15" s="6"/>
      <x:c r="J15" s="6"/>
      <x:c r="K15" s="1"/>
      <x:c r="L15" s="1"/>
      <x:c r="M15" s="1"/>
    </x:row>
    <x:row r="16" ht="22" customHeight="1">
      <x:c r="A16" s="1"/>
      <x:c r="B16" s="1"/>
      <x:c r="C16" s="1" t="str">
        <x:v>Annual payment operations cost at launch</x:v>
      </x:c>
      <x:c r="D16" s="23" t="n">
        <x:v>300000</x:v>
      </x:c>
      <x:c r="E16" s="6"/>
      <x:c r="F16" s="6"/>
      <x:c r="G16" s="6"/>
      <x:c r="H16" s="6"/>
      <x:c r="I16" s="6"/>
      <x:c r="J16" s="6"/>
      <x:c r="K16" s="1"/>
      <x:c r="L16" s="1"/>
      <x:c r="M16" s="1"/>
    </x:row>
    <x:row r="17" ht="22" customHeight="1">
      <x:c r="A17" s="1"/>
      <x:c r="B17" s="1"/>
      <x:c r="C17" s="1" t="str">
        <x:v>Annual operations cost escalation</x:v>
      </x:c>
      <x:c r="D17" s="17" t="n">
        <x:v>0.03</x:v>
      </x:c>
      <x:c r="E17" s="6"/>
      <x:c r="F17" s="6"/>
      <x:c r="G17" s="6"/>
      <x:c r="H17" s="6"/>
      <x:c r="I17" s="6"/>
      <x:c r="J17" s="6"/>
      <x:c r="K17" s="1"/>
      <x:c r="L17" s="1"/>
      <x:c r="M17" s="1"/>
    </x:row>
    <x:row r="18" ht="22" customHeight="1">
      <x:c r="A18" s="1"/>
      <x:c r="B18" s="1"/>
      <x:c r="C18" s="32" t="str">
        <x:v>Alternative rates are unquoted planning estimates, not zero-cost rails. Build: $300k before launch + $300k at launch. Annual run cost: $200k team + $50k security/compliance + $50k bank/vendor minimums. All are incremental to payroll.</x:v>
      </x:c>
      <x:c r="D18" s="33"/>
      <x:c r="E18" s="33"/>
      <x:c r="F18" s="33"/>
      <x:c r="G18" s="33"/>
      <x:c r="H18" s="33"/>
      <x:c r="I18" s="33"/>
      <x:c r="J18" s="33"/>
      <x:c r="K18" s="1"/>
      <x:c r="L18" s="1"/>
      <x:c r="M18" s="1"/>
    </x:row>
    <x:row r="19" ht="22" customHeight="1">
      <x:c r="A19" s="1"/>
      <x:c r="B19" s="1"/>
      <x:c r="C19" s="32"/>
      <x:c r="D19" s="33"/>
      <x:c r="E19" s="33"/>
      <x:c r="F19" s="33"/>
      <x:c r="G19" s="33"/>
      <x:c r="H19" s="33"/>
      <x:c r="I19" s="33"/>
      <x:c r="J19" s="33"/>
      <x:c r="K19" s="1"/>
      <x:c r="L19" s="1"/>
      <x:c r="M19" s="1"/>
    </x:row>
    <x:row r="20" ht="22" customHeight="1">
      <x:c r="A20" s="1"/>
      <x:c r="B20" s="1"/>
      <x:c r="C20" s="4"/>
      <x:c r="D20" s="61" t="n">
        <x:v>2027</x:v>
      </x:c>
      <x:c r="E20" s="61" t="n">
        <x:v>2028</x:v>
      </x:c>
      <x:c r="F20" s="61" t="n">
        <x:v>2029</x:v>
      </x:c>
      <x:c r="G20" s="61" t="n">
        <x:v>2030</x:v>
      </x:c>
      <x:c r="H20" s="61" t="n">
        <x:v>2031</x:v>
      </x:c>
      <x:c r="I20" s="61" t="n">
        <x:v>2032</x:v>
      </x:c>
      <x:c r="J20" s="61" t="n">
        <x:v>2033</x:v>
      </x:c>
      <x:c r="K20" s="1"/>
      <x:c r="L20" s="1"/>
      <x:c r="M20" s="1"/>
    </x:row>
    <x:row r="21" ht="22" customHeight="1">
      <x:c r="A21" s="1"/>
      <x:c r="B21" s="1"/>
      <x:c r="C21" s="1" t="str">
        <x:v>Own engine live / 1 = yes</x:v>
      </x:c>
      <x:c r="D21" s="11" t="n">
        <x:f>IF(AND($D$4&gt;=2028,D$20&gt;=$D$4),1,0)</x:f>
        <x:v>0</x:v>
      </x:c>
      <x:c r="E21" s="11" t="n">
        <x:f>IF(AND($D$4&gt;=2028,E$20&gt;=$D$4),1,0)</x:f>
        <x:v>0</x:v>
      </x:c>
      <x:c r="F21" s="11" t="n">
        <x:f>IF(AND($D$4&gt;=2028,F$20&gt;=$D$4),1,0)</x:f>
        <x:v>0</x:v>
      </x:c>
      <x:c r="G21" s="11" t="n">
        <x:f>IF(AND($D$4&gt;=2028,G$20&gt;=$D$4),1,0)</x:f>
        <x:v>0</x:v>
      </x:c>
      <x:c r="H21" s="11" t="n">
        <x:f>IF(AND($D$4&gt;=2028,H$20&gt;=$D$4),1,0)</x:f>
        <x:v>0</x:v>
      </x:c>
      <x:c r="I21" s="11" t="n">
        <x:f>IF(AND($D$4&gt;=2028,I$20&gt;=$D$4),1,0)</x:f>
        <x:v>0</x:v>
      </x:c>
      <x:c r="J21" s="11" t="n">
        <x:f>IF(AND($D$4&gt;=2028,J$20&gt;=$D$4),1,0)</x:f>
        <x:v>0</x:v>
      </x:c>
      <x:c r="K21" s="1"/>
      <x:c r="L21" s="1"/>
      <x:c r="M21" s="1"/>
    </x:row>
    <x:row r="22" ht="22" customHeight="1">
      <x:c r="A22" s="1"/>
      <x:c r="B22" s="1"/>
      <x:c r="C22" s="1" t="str">
        <x:v>Effective card percentage</x:v>
      </x:c>
      <x:c r="D22" s="62" t="n">
        <x:f>IF(D21=1,$D$7,'Assumptions'!$D$76)</x:f>
        <x:v>0.029</x:v>
      </x:c>
      <x:c r="E22" s="62" t="n">
        <x:f>IF(E21=1,$D$7,'Assumptions'!$D$76)</x:f>
        <x:v>0.029</x:v>
      </x:c>
      <x:c r="F22" s="62" t="n">
        <x:f>IF(F21=1,$D$7,'Assumptions'!$D$76)</x:f>
        <x:v>0.029</x:v>
      </x:c>
      <x:c r="G22" s="62" t="n">
        <x:f>IF(G21=1,$D$7,'Assumptions'!$D$76)</x:f>
        <x:v>0.029</x:v>
      </x:c>
      <x:c r="H22" s="62" t="n">
        <x:f>IF(H21=1,$D$7,'Assumptions'!$D$76)</x:f>
        <x:v>0.029</x:v>
      </x:c>
      <x:c r="I22" s="62" t="n">
        <x:f>IF(I21=1,$D$7,'Assumptions'!$D$76)</x:f>
        <x:v>0.029</x:v>
      </x:c>
      <x:c r="J22" s="62" t="n">
        <x:f>IF(J21=1,$D$7,'Assumptions'!$D$76)</x:f>
        <x:v>0.029</x:v>
      </x:c>
      <x:c r="K22" s="1"/>
      <x:c r="L22" s="1"/>
      <x:c r="M22" s="1"/>
    </x:row>
    <x:row r="23" ht="22" customHeight="1">
      <x:c r="A23" s="1"/>
      <x:c r="B23" s="1"/>
      <x:c r="C23" s="1" t="str">
        <x:v>Effective card fixed charge</x:v>
      </x:c>
      <x:c r="D23" s="63" t="n">
        <x:f>IF(D21=1,$D$8,'Assumptions'!$D$77)</x:f>
        <x:v>0.3</x:v>
      </x:c>
      <x:c r="E23" s="63" t="n">
        <x:f>IF(E21=1,$D$8,'Assumptions'!$D$77)</x:f>
        <x:v>0.3</x:v>
      </x:c>
      <x:c r="F23" s="63" t="n">
        <x:f>IF(F21=1,$D$8,'Assumptions'!$D$77)</x:f>
        <x:v>0.3</x:v>
      </x:c>
      <x:c r="G23" s="63" t="n">
        <x:f>IF(G21=1,$D$8,'Assumptions'!$D$77)</x:f>
        <x:v>0.3</x:v>
      </x:c>
      <x:c r="H23" s="63" t="n">
        <x:f>IF(H21=1,$D$8,'Assumptions'!$D$77)</x:f>
        <x:v>0.3</x:v>
      </x:c>
      <x:c r="I23" s="63" t="n">
        <x:f>IF(I21=1,$D$8,'Assumptions'!$D$77)</x:f>
        <x:v>0.3</x:v>
      </x:c>
      <x:c r="J23" s="63" t="n">
        <x:f>IF(J21=1,$D$8,'Assumptions'!$D$77)</x:f>
        <x:v>0.3</x:v>
      </x:c>
      <x:c r="K23" s="1"/>
      <x:c r="L23" s="1"/>
      <x:c r="M23" s="1"/>
    </x:row>
    <x:row r="24" ht="22" customHeight="1">
      <x:c r="A24" s="1"/>
      <x:c r="B24" s="1"/>
      <x:c r="C24" s="1" t="str">
        <x:v>Effective ACH percentage</x:v>
      </x:c>
      <x:c r="D24" s="62" t="n">
        <x:f>IF(D21=1,$D$9,'Assumptions'!$D$78)</x:f>
        <x:v>0.008</x:v>
      </x:c>
      <x:c r="E24" s="62" t="n">
        <x:f>IF(E21=1,$D$9,'Assumptions'!$D$78)</x:f>
        <x:v>0.008</x:v>
      </x:c>
      <x:c r="F24" s="62" t="n">
        <x:f>IF(F21=1,$D$9,'Assumptions'!$D$78)</x:f>
        <x:v>0.008</x:v>
      </x:c>
      <x:c r="G24" s="62" t="n">
        <x:f>IF(G21=1,$D$9,'Assumptions'!$D$78)</x:f>
        <x:v>0.008</x:v>
      </x:c>
      <x:c r="H24" s="62" t="n">
        <x:f>IF(H21=1,$D$9,'Assumptions'!$D$78)</x:f>
        <x:v>0.008</x:v>
      </x:c>
      <x:c r="I24" s="62" t="n">
        <x:f>IF(I21=1,$D$9,'Assumptions'!$D$78)</x:f>
        <x:v>0.008</x:v>
      </x:c>
      <x:c r="J24" s="62" t="n">
        <x:f>IF(J21=1,$D$9,'Assumptions'!$D$78)</x:f>
        <x:v>0.008</x:v>
      </x:c>
      <x:c r="K24" s="1"/>
      <x:c r="L24" s="1"/>
      <x:c r="M24" s="1"/>
    </x:row>
    <x:row r="25" ht="22" customHeight="1">
      <x:c r="A25" s="1"/>
      <x:c r="B25" s="1"/>
      <x:c r="C25" s="1" t="str">
        <x:v>Effective ACH fixed charge</x:v>
      </x:c>
      <x:c r="D25" s="34" t="n">
        <x:f>IF(D21=1,$D$10,0)</x:f>
        <x:v>0</x:v>
      </x:c>
      <x:c r="E25" s="34" t="n">
        <x:f>IF(E21=1,$D$10,0)</x:f>
        <x:v>0</x:v>
      </x:c>
      <x:c r="F25" s="34" t="n">
        <x:f>IF(F21=1,$D$10,0)</x:f>
        <x:v>0</x:v>
      </x:c>
      <x:c r="G25" s="34" t="n">
        <x:f>IF(G21=1,$D$10,0)</x:f>
        <x:v>0</x:v>
      </x:c>
      <x:c r="H25" s="34" t="n">
        <x:f>IF(H21=1,$D$10,0)</x:f>
        <x:v>0</x:v>
      </x:c>
      <x:c r="I25" s="34" t="n">
        <x:f>IF(I21=1,$D$10,0)</x:f>
        <x:v>0</x:v>
      </x:c>
      <x:c r="J25" s="34" t="n">
        <x:f>IF(J21=1,$D$10,0)</x:f>
        <x:v>0</x:v>
      </x:c>
      <x:c r="K25" s="1"/>
      <x:c r="L25" s="1"/>
      <x:c r="M25" s="1"/>
    </x:row>
    <x:row r="26" ht="22" customHeight="1">
      <x:c r="A26" s="1"/>
      <x:c r="B26" s="1"/>
      <x:c r="C26" s="1" t="str">
        <x:v>Effective ACH total cap</x:v>
      </x:c>
      <x:c r="D26" s="63" t="n">
        <x:f>IF(D21=1,$D$11,'Assumptions'!$D$79)</x:f>
        <x:v>5</x:v>
      </x:c>
      <x:c r="E26" s="63" t="n">
        <x:f>IF(E21=1,$D$11,'Assumptions'!$D$79)</x:f>
        <x:v>5</x:v>
      </x:c>
      <x:c r="F26" s="63" t="n">
        <x:f>IF(F21=1,$D$11,'Assumptions'!$D$79)</x:f>
        <x:v>5</x:v>
      </x:c>
      <x:c r="G26" s="63" t="n">
        <x:f>IF(G21=1,$D$11,'Assumptions'!$D$79)</x:f>
        <x:v>5</x:v>
      </x:c>
      <x:c r="H26" s="63" t="n">
        <x:f>IF(H21=1,$D$11,'Assumptions'!$D$79)</x:f>
        <x:v>5</x:v>
      </x:c>
      <x:c r="I26" s="63" t="n">
        <x:f>IF(I21=1,$D$11,'Assumptions'!$D$79)</x:f>
        <x:v>5</x:v>
      </x:c>
      <x:c r="J26" s="63" t="n">
        <x:f>IF(J21=1,$D$11,'Assumptions'!$D$79)</x:f>
        <x:v>5</x:v>
      </x:c>
      <x:c r="K26" s="1"/>
      <x:c r="L26" s="1"/>
      <x:c r="M26" s="1"/>
    </x:row>
    <x:row r="27" ht="22" customHeight="1">
      <x:c r="A27" s="1"/>
      <x:c r="B27" s="1"/>
      <x:c r="C27" s="1" t="str">
        <x:v>Effective payout-volume rate</x:v>
      </x:c>
      <x:c r="D27" s="62" t="n">
        <x:f>IF(D21=1,$D$12,'Assumptions'!$D$80)</x:f>
        <x:v>0.0025</x:v>
      </x:c>
      <x:c r="E27" s="62" t="n">
        <x:f>IF(E21=1,$D$12,'Assumptions'!$D$80)</x:f>
        <x:v>0.0025</x:v>
      </x:c>
      <x:c r="F27" s="62" t="n">
        <x:f>IF(F21=1,$D$12,'Assumptions'!$D$80)</x:f>
        <x:v>0.0025</x:v>
      </x:c>
      <x:c r="G27" s="62" t="n">
        <x:f>IF(G21=1,$D$12,'Assumptions'!$D$80)</x:f>
        <x:v>0.0025</x:v>
      </x:c>
      <x:c r="H27" s="62" t="n">
        <x:f>IF(H21=1,$D$12,'Assumptions'!$D$80)</x:f>
        <x:v>0.0025</x:v>
      </x:c>
      <x:c r="I27" s="62" t="n">
        <x:f>IF(I21=1,$D$12,'Assumptions'!$D$80)</x:f>
        <x:v>0.0025</x:v>
      </x:c>
      <x:c r="J27" s="62" t="n">
        <x:f>IF(J21=1,$D$12,'Assumptions'!$D$80)</x:f>
        <x:v>0.0025</x:v>
      </x:c>
      <x:c r="K27" s="1"/>
      <x:c r="L27" s="1"/>
      <x:c r="M27" s="1"/>
    </x:row>
    <x:row r="28" ht="22" customHeight="1">
      <x:c r="A28" s="1"/>
      <x:c r="B28" s="1"/>
      <x:c r="C28" s="1" t="str">
        <x:v>Effective cost / payout</x:v>
      </x:c>
      <x:c r="D28" s="63" t="n">
        <x:f>IF(D21=1,$D$13,'Assumptions'!$D$81)</x:f>
        <x:v>0.25</x:v>
      </x:c>
      <x:c r="E28" s="63" t="n">
        <x:f>IF(E21=1,$D$13,'Assumptions'!$D$81)</x:f>
        <x:v>0.25</x:v>
      </x:c>
      <x:c r="F28" s="63" t="n">
        <x:f>IF(F21=1,$D$13,'Assumptions'!$D$81)</x:f>
        <x:v>0.25</x:v>
      </x:c>
      <x:c r="G28" s="63" t="n">
        <x:f>IF(G21=1,$D$13,'Assumptions'!$D$81)</x:f>
        <x:v>0.25</x:v>
      </x:c>
      <x:c r="H28" s="63" t="n">
        <x:f>IF(H21=1,$D$13,'Assumptions'!$D$81)</x:f>
        <x:v>0.25</x:v>
      </x:c>
      <x:c r="I28" s="63" t="n">
        <x:f>IF(I21=1,$D$13,'Assumptions'!$D$81)</x:f>
        <x:v>0.25</x:v>
      </x:c>
      <x:c r="J28" s="63" t="n">
        <x:f>IF(J21=1,$D$13,'Assumptions'!$D$81)</x:f>
        <x:v>0.25</x:v>
      </x:c>
      <x:c r="K28" s="1"/>
      <x:c r="L28" s="1"/>
      <x:c r="M28" s="1"/>
    </x:row>
    <x:row r="29" ht="22" customHeight="1">
      <x:c r="A29" s="1"/>
      <x:c r="B29" s="1"/>
      <x:c r="C29" s="1" t="str">
        <x:v>Effective active-account monthly cost</x:v>
      </x:c>
      <x:c r="D29" s="63" t="n">
        <x:f>IF(D21=1,$D$14,'Assumptions'!$D$82)</x:f>
        <x:v>2</x:v>
      </x:c>
      <x:c r="E29" s="63" t="n">
        <x:f>IF(E21=1,$D$14,'Assumptions'!$D$82)</x:f>
        <x:v>2</x:v>
      </x:c>
      <x:c r="F29" s="63" t="n">
        <x:f>IF(F21=1,$D$14,'Assumptions'!$D$82)</x:f>
        <x:v>2</x:v>
      </x:c>
      <x:c r="G29" s="63" t="n">
        <x:f>IF(G21=1,$D$14,'Assumptions'!$D$82)</x:f>
        <x:v>2</x:v>
      </x:c>
      <x:c r="H29" s="63" t="n">
        <x:f>IF(H21=1,$D$14,'Assumptions'!$D$82)</x:f>
        <x:v>2</x:v>
      </x:c>
      <x:c r="I29" s="63" t="n">
        <x:f>IF(I21=1,$D$14,'Assumptions'!$D$82)</x:f>
        <x:v>2</x:v>
      </x:c>
      <x:c r="J29" s="63" t="n">
        <x:f>IF(J21=1,$D$14,'Assumptions'!$D$82)</x:f>
        <x:v>2</x:v>
      </x:c>
      <x:c r="K29" s="1"/>
      <x:c r="L29" s="1"/>
      <x:c r="M29" s="1"/>
    </x:row>
    <x:row r="30" ht="22" customHeight="1">
      <x:c r="A30" s="1"/>
      <x:c r="B30" s="1"/>
      <x:c r="C30" s="1" t="str">
        <x:v>Build / migration expense</x:v>
      </x:c>
      <x:c r="D30" s="22" t="n">
        <x:f>IF(AND($D$4&gt;=2028,OR(D$20=$D$4-1,D$20=$D$4)),$D$15/2,0)</x:f>
        <x:v>0</x:v>
      </x:c>
      <x:c r="E30" s="22" t="n">
        <x:f>IF(AND($D$4&gt;=2028,OR(E$20=$D$4-1,E$20=$D$4)),$D$15/2,0)</x:f>
        <x:v>0</x:v>
      </x:c>
      <x:c r="F30" s="22" t="n">
        <x:f>IF(AND($D$4&gt;=2028,OR(F$20=$D$4-1,F$20=$D$4)),$D$15/2,0)</x:f>
        <x:v>0</x:v>
      </x:c>
      <x:c r="G30" s="22" t="n">
        <x:f>IF(AND($D$4&gt;=2028,OR(G$20=$D$4-1,G$20=$D$4)),$D$15/2,0)</x:f>
        <x:v>0</x:v>
      </x:c>
      <x:c r="H30" s="22" t="n">
        <x:f>IF(AND($D$4&gt;=2028,OR(H$20=$D$4-1,H$20=$D$4)),$D$15/2,0)</x:f>
        <x:v>0</x:v>
      </x:c>
      <x:c r="I30" s="22" t="n">
        <x:f>IF(AND($D$4&gt;=2028,OR(I$20=$D$4-1,I$20=$D$4)),$D$15/2,0)</x:f>
        <x:v>0</x:v>
      </x:c>
      <x:c r="J30" s="22" t="n">
        <x:f>IF(AND($D$4&gt;=2028,OR(J$20=$D$4-1,J$20=$D$4)),$D$15/2,0)</x:f>
        <x:v>0</x:v>
      </x:c>
      <x:c r="K30" s="1"/>
      <x:c r="L30" s="1"/>
      <x:c r="M30" s="1"/>
    </x:row>
    <x:row r="31" ht="22" customHeight="1">
      <x:c r="A31" s="1"/>
      <x:c r="B31" s="1"/>
      <x:c r="C31" s="1" t="str">
        <x:v>Incremental annual payment operations</x:v>
      </x:c>
      <x:c r="D31" s="22" t="n">
        <x:f>IF(D21=1,$D$16*(1+$D$17)^(D$20-$D$4),0)</x:f>
        <x:v>0</x:v>
      </x:c>
      <x:c r="E31" s="22" t="n">
        <x:f>IF(E21=1,$D$16*(1+$D$17)^(E$20-$D$4),0)</x:f>
        <x:v>0</x:v>
      </x:c>
      <x:c r="F31" s="22" t="n">
        <x:f>IF(F21=1,$D$16*(1+$D$17)^(F$20-$D$4),0)</x:f>
        <x:v>0</x:v>
      </x:c>
      <x:c r="G31" s="22" t="n">
        <x:f>IF(G21=1,$D$16*(1+$D$17)^(G$20-$D$4),0)</x:f>
        <x:v>0</x:v>
      </x:c>
      <x:c r="H31" s="22" t="n">
        <x:f>IF(H21=1,$D$16*(1+$D$17)^(H$20-$D$4),0)</x:f>
        <x:v>0</x:v>
      </x:c>
      <x:c r="I31" s="22" t="n">
        <x:f>IF(I21=1,$D$16*(1+$D$17)^(I$20-$D$4),0)</x:f>
        <x:v>0</x:v>
      </x:c>
      <x:c r="J31" s="22" t="n">
        <x:f>IF(J21=1,$D$16*(1+$D$17)^(J$20-$D$4),0)</x:f>
        <x:v>0</x:v>
      </x:c>
      <x:c r="K31" s="1"/>
      <x:c r="L31" s="1"/>
      <x:c r="M31" s="1"/>
    </x:row>
    <x:row r="32" ht="22" customHeight="1">
      <x:c r="A32" s="1"/>
      <x:c r="B32" s="1"/>
      <x:c r="C32" s="1"/>
      <x:c r="D32" s="6"/>
      <x:c r="E32" s="6"/>
      <x:c r="F32" s="6"/>
      <x:c r="G32" s="6"/>
      <x:c r="H32" s="6"/>
      <x:c r="I32" s="6"/>
      <x:c r="J32" s="6"/>
      <x:c r="K32" s="1"/>
      <x:c r="L32" s="1"/>
      <x:c r="M32" s="1"/>
    </x:row>
    <x:row r="33" ht="22" customHeight="1">
      <x:c r="A33" s="1"/>
      <x:c r="B33" s="1"/>
      <x:c r="C33" s="1" t="str">
        <x:v>Card + ACH processing expense</x:v>
      </x:c>
      <x:c r="D33" s="50" t="n">
        <x:f>SUM('Operating model'!D29:D30)</x:f>
        <x:v>0</x:v>
      </x:c>
      <x:c r="E33" s="50" t="n">
        <x:f>SUM('Operating model'!E29:E30)</x:f>
        <x:v>0</x:v>
      </x:c>
      <x:c r="F33" s="50" t="n">
        <x:f>SUM('Operating model'!F29:F30)</x:f>
        <x:v>0</x:v>
      </x:c>
      <x:c r="G33" s="50" t="n">
        <x:f>SUM('Operating model'!G29:G30)</x:f>
        <x:v>0</x:v>
      </x:c>
      <x:c r="H33" s="50" t="n">
        <x:f>SUM('Operating model'!H29:H30)</x:f>
        <x:v>0</x:v>
      </x:c>
      <x:c r="I33" s="50" t="n">
        <x:f>SUM('Operating model'!I29:I30)</x:f>
        <x:v>0</x:v>
      </x:c>
      <x:c r="J33" s="50" t="n">
        <x:f>SUM('Operating model'!J29:J30)</x:f>
        <x:v>0</x:v>
      </x:c>
      <x:c r="K33" s="1"/>
      <x:c r="L33" s="1"/>
      <x:c r="M33" s="1"/>
    </x:row>
    <x:row r="34" ht="22" customHeight="1">
      <x:c r="A34" s="1"/>
      <x:c r="B34" s="1"/>
      <x:c r="C34" s="4" t="str">
        <x:v>Recovered from providers at cost</x:v>
      </x:c>
      <x:c r="D34" s="54" t="n">
        <x:f>'Operating model'!D28</x:f>
        <x:v>0</x:v>
      </x:c>
      <x:c r="E34" s="54" t="n">
        <x:f>'Operating model'!E28</x:f>
        <x:v>0</x:v>
      </x:c>
      <x:c r="F34" s="54" t="n">
        <x:f>'Operating model'!F28</x:f>
        <x:v>0</x:v>
      </x:c>
      <x:c r="G34" s="54" t="n">
        <x:f>'Operating model'!G28</x:f>
        <x:v>0</x:v>
      </x:c>
      <x:c r="H34" s="54" t="n">
        <x:f>'Operating model'!H28</x:f>
        <x:v>0</x:v>
      </x:c>
      <x:c r="I34" s="54" t="n">
        <x:f>'Operating model'!I28</x:f>
        <x:v>0</x:v>
      </x:c>
      <x:c r="J34" s="54" t="n">
        <x:f>'Operating model'!J28</x:f>
        <x:v>0</x:v>
      </x:c>
      <x:c r="K34" s="1"/>
      <x:c r="L34" s="1"/>
      <x:c r="M34" s="1"/>
    </x:row>
    <x:row r="35" ht="22" customHeight="1">
      <x:c r="A35" s="1"/>
      <x:c r="B35" s="1"/>
      <x:c r="C35" s="1" t="str">
        <x:v>Retained processing expense</x:v>
      </x:c>
      <x:c r="D35" s="22" t="n">
        <x:f>D33-D34</x:f>
        <x:v>0</x:v>
      </x:c>
      <x:c r="E35" s="22" t="n">
        <x:f>E33-E34</x:f>
        <x:v>0</x:v>
      </x:c>
      <x:c r="F35" s="22" t="n">
        <x:f>F33-F34</x:f>
        <x:v>0</x:v>
      </x:c>
      <x:c r="G35" s="22" t="n">
        <x:f>G33-G34</x:f>
        <x:v>0</x:v>
      </x:c>
      <x:c r="H35" s="22" t="n">
        <x:f>H33-H34</x:f>
        <x:v>0</x:v>
      </x:c>
      <x:c r="I35" s="22" t="n">
        <x:f>I33-I34</x:f>
        <x:v>0</x:v>
      </x:c>
      <x:c r="J35" s="22" t="n">
        <x:f>J33-J34</x:f>
        <x:v>0</x:v>
      </x:c>
      <x:c r="K35" s="1"/>
      <x:c r="L35" s="1"/>
      <x:c r="M35" s="1"/>
    </x:row>
    <x:row r="36" ht="22" customHeight="1">
      <x:c r="A36" s="1"/>
      <x:c r="B36" s="1"/>
      <x:c r="C36" s="1" t="str">
        <x:v>Payout / account expense</x:v>
      </x:c>
      <x:c r="D36" s="50" t="n">
        <x:f>SUM('Operating model'!D31:D33)</x:f>
        <x:v>0</x:v>
      </x:c>
      <x:c r="E36" s="50" t="n">
        <x:f>SUM('Operating model'!E31:E33)</x:f>
        <x:v>0</x:v>
      </x:c>
      <x:c r="F36" s="50" t="n">
        <x:f>SUM('Operating model'!F31:F33)</x:f>
        <x:v>0</x:v>
      </x:c>
      <x:c r="G36" s="50" t="n">
        <x:f>SUM('Operating model'!G31:G33)</x:f>
        <x:v>0</x:v>
      </x:c>
      <x:c r="H36" s="50" t="n">
        <x:f>SUM('Operating model'!H31:H33)</x:f>
        <x:v>0</x:v>
      </x:c>
      <x:c r="I36" s="50" t="n">
        <x:f>SUM('Operating model'!I31:I33)</x:f>
        <x:v>0</x:v>
      </x:c>
      <x:c r="J36" s="50" t="n">
        <x:f>SUM('Operating model'!J31:J33)</x:f>
        <x:v>0</x:v>
      </x:c>
      <x:c r="K36" s="1"/>
      <x:c r="L36" s="1"/>
      <x:c r="M36" s="1"/>
    </x:row>
    <x:row r="37" ht="22" customHeight="1">
      <x:c r="A37" s="1"/>
      <x:c r="B37" s="1"/>
      <x:c r="C37" s="1" t="str">
        <x:v>Bank-link verification allowance</x:v>
      </x:c>
      <x:c r="D37" s="50" t="n">
        <x:f>'Operating model'!D35</x:f>
        <x:v>0</x:v>
      </x:c>
      <x:c r="E37" s="50" t="n">
        <x:f>'Operating model'!E35</x:f>
        <x:v>0</x:v>
      </x:c>
      <x:c r="F37" s="50" t="n">
        <x:f>'Operating model'!F35</x:f>
        <x:v>0</x:v>
      </x:c>
      <x:c r="G37" s="50" t="n">
        <x:f>'Operating model'!G35</x:f>
        <x:v>0</x:v>
      </x:c>
      <x:c r="H37" s="50" t="n">
        <x:f>'Operating model'!H35</x:f>
        <x:v>0</x:v>
      </x:c>
      <x:c r="I37" s="50" t="n">
        <x:f>'Operating model'!I35</x:f>
        <x:v>0</x:v>
      </x:c>
      <x:c r="J37" s="50" t="n">
        <x:f>'Operating model'!J35</x:f>
        <x:v>0</x:v>
      </x:c>
      <x:c r="K37" s="1"/>
      <x:c r="L37" s="1"/>
      <x:c r="M37" s="1"/>
    </x:row>
    <x:row r="38" ht="22" customHeight="1">
      <x:c r="A38" s="1"/>
      <x:c r="B38" s="1"/>
      <x:c r="C38" s="4" t="str">
        <x:v>Total payment vendor expense</x:v>
      </x:c>
      <x:c r="D38" s="24" t="n">
        <x:f>D33+D36+D37</x:f>
        <x:v>0</x:v>
      </x:c>
      <x:c r="E38" s="24" t="n">
        <x:f>E33+E36+E37</x:f>
        <x:v>0</x:v>
      </x:c>
      <x:c r="F38" s="24" t="n">
        <x:f>F33+F36+F37</x:f>
        <x:v>0</x:v>
      </x:c>
      <x:c r="G38" s="24" t="n">
        <x:f>G33+G36+G37</x:f>
        <x:v>0</x:v>
      </x:c>
      <x:c r="H38" s="24" t="n">
        <x:f>H33+H36+H37</x:f>
        <x:v>0</x:v>
      </x:c>
      <x:c r="I38" s="24" t="n">
        <x:f>I33+I36+I37</x:f>
        <x:v>0</x:v>
      </x:c>
      <x:c r="J38" s="24" t="n">
        <x:f>J33+J36+J37</x:f>
        <x:v>0</x:v>
      </x:c>
      <x:c r="K38" s="1"/>
      <x:c r="L38" s="1"/>
      <x:c r="M38" s="1"/>
    </x:row>
    <x:row r="39" ht="22" customHeight="1">
      <x:c r="A39" s="1"/>
      <x:c r="B39" s="1"/>
      <x:c r="C39" s="1"/>
      <x:c r="D39" s="6"/>
      <x:c r="E39" s="6"/>
      <x:c r="F39" s="6"/>
      <x:c r="G39" s="6"/>
      <x:c r="H39" s="6"/>
      <x:c r="I39" s="6"/>
      <x:c r="J39" s="6"/>
      <x:c r="K39" s="1"/>
      <x:c r="L39" s="1"/>
      <x:c r="M39" s="1"/>
    </x:row>
    <x:row r="40" ht="22" customHeight="1">
      <x:c r="A40" s="1"/>
      <x:c r="B40" s="1"/>
      <x:c r="C40" s="1" t="str">
        <x:v>Same-volume Stripe card + ACH cost</x:v>
      </x:c>
      <x:c r="D40" s="50" t="n">
        <x:f>'Operating model'!D13*((1-'Assumptions'!D37)*'Service mix'!D48+'Assumptions'!D37*'Service mix'!D47)</x:f>
        <x:v>6270.994080000002</x:v>
      </x:c>
      <x:c r="E40" s="50" t="n">
        <x:f>'Operating model'!E13*((1-'Assumptions'!E37)*'Service mix'!E48+'Assumptions'!E37*'Service mix'!E47)</x:f>
        <x:v>54958.54981662928</x:v>
      </x:c>
      <x:c r="F40" s="50" t="n">
        <x:f>'Operating model'!F13*((1-'Assumptions'!F37)*'Service mix'!F48+'Assumptions'!F37*'Service mix'!F47)</x:f>
        <x:v>284031.6548560312</x:v>
      </x:c>
      <x:c r="G40" s="50" t="n">
        <x:f>'Operating model'!G13*((1-'Assumptions'!G37)*'Service mix'!G48+'Assumptions'!G37*'Service mix'!G47)</x:f>
        <x:v>1046847.5359536944</x:v>
      </x:c>
      <x:c r="H40" s="50" t="n">
        <x:f>'Operating model'!H13*((1-'Assumptions'!H37)*'Service mix'!H48+'Assumptions'!H37*'Service mix'!H47)</x:f>
        <x:v>3199706.7349071973</x:v>
      </x:c>
      <x:c r="I40" s="50" t="n">
        <x:f>'Operating model'!I13*((1-'Assumptions'!I37)*'Service mix'!I48+'Assumptions'!I37*'Service mix'!I47)</x:f>
        <x:v>8623670.646706568</x:v>
      </x:c>
      <x:c r="J40" s="50" t="n">
        <x:f>'Operating model'!J13*((1-'Assumptions'!J37)*'Service mix'!J48+'Assumptions'!J37*'Service mix'!J47)</x:f>
        <x:v>20373610.23319728</x:v>
      </x:c>
      <x:c r="K40" s="1"/>
      <x:c r="L40" s="1"/>
      <x:c r="M40" s="1"/>
    </x:row>
    <x:row r="41" ht="22" customHeight="1">
      <x:c r="A41" s="1"/>
      <x:c r="B41" s="1"/>
      <x:c r="C41" s="1" t="str">
        <x:v>Same-volume Stripe provider proceeds</x:v>
      </x:c>
      <x:c r="D41" s="50" t="n">
        <x:f>'Operating model'!D14-SUM('Operating model'!D24:D25)-D40*'Assumptions'!$D$117</x:f>
        <x:v>172992.42000000007</x:v>
      </x:c>
      <x:c r="E41" s="50" t="n">
        <x:f>'Operating model'!E14-SUM('Operating model'!E24:E25)-E40*'Assumptions'!$D$117</x:f>
        <x:v>1578648.3847113545</x:v>
      </x:c>
      <x:c r="F41" s="50" t="n">
        <x:f>'Operating model'!F14-SUM('Operating model'!F24:F25)-F40*'Assumptions'!$D$117</x:f>
        <x:v>8314061.351501074</x:v>
      </x:c>
      <x:c r="G41" s="50" t="n">
        <x:f>'Operating model'!G14-SUM('Operating model'!G24:G25)-G40*'Assumptions'!$D$117</x:f>
        <x:v>31255533.442679115</x:v>
      </x:c>
      <x:c r="H41" s="50" t="n">
        <x:f>'Operating model'!H14-SUM('Operating model'!H24:H25)-H40*'Assumptions'!$D$117</x:f>
        <x:v>97017588.30843784</x:v>
      </x:c>
      <x:c r="I41" s="50" t="n">
        <x:f>'Operating model'!I14-SUM('Operating model'!I24:I25)-I40*'Assumptions'!$D$117</x:f>
        <x:v>264604878.61229545</x:v>
      </x:c>
      <x:c r="J41" s="50" t="n">
        <x:f>'Operating model'!J14-SUM('Operating model'!J24:J25)-J40*'Assumptions'!$D$117</x:f>
        <x:v>632675486.9619751</x:v>
      </x:c>
      <x:c r="K41" s="1"/>
      <x:c r="L41" s="1"/>
      <x:c r="M41" s="1"/>
    </x:row>
    <x:row r="42" ht="22" customHeight="1">
      <x:c r="A42" s="1"/>
      <x:c r="B42" s="1"/>
      <x:c r="C42" s="1" t="str">
        <x:v>Same-volume Stripe payout / account cost</x:v>
      </x:c>
      <x:c r="D42" s="50" t="n">
        <x:f>D41*'Assumptions'!$D$80+'Operating model'!D20*'Assumptions'!$D$74*('Assumptions'!$D$75*'Assumptions'!$D$81+'Assumptions'!$D$82)</x:f>
        <x:v>506.4610500000002</x:v>
      </x:c>
      <x:c r="E42" s="50" t="n">
        <x:f>E41*'Assumptions'!$D$80+'Operating model'!E20*'Assumptions'!$D$74*('Assumptions'!$D$75*'Assumptions'!$D$81+'Assumptions'!$D$82)</x:f>
        <x:v>4552.023961778386</x:v>
      </x:c>
      <x:c r="F42" s="50" t="n">
        <x:f>F41*'Assumptions'!$D$80+'Operating model'!F20*'Assumptions'!$D$74*('Assumptions'!$D$75*'Assumptions'!$D$81+'Assumptions'!$D$82)</x:f>
        <x:v>23761.615378752686</x:v>
      </x:c>
      <x:c r="G42" s="50" t="n">
        <x:f>G41*'Assumptions'!$D$80+'Operating model'!G20*'Assumptions'!$D$74*('Assumptions'!$D$75*'Assumptions'!$D$81+'Assumptions'!$D$82)</x:f>
        <x:v>88476.3056066978</x:v>
      </x:c>
      <x:c r="H42" s="50" t="n">
        <x:f>H41*'Assumptions'!$D$80+'Operating model'!H20*'Assumptions'!$D$74*('Assumptions'!$D$75*'Assumptions'!$D$81+'Assumptions'!$D$82)</x:f>
        <x:v>271991.0932710946</x:v>
      </x:c>
      <x:c r="I42" s="50" t="n">
        <x:f>I41*'Assumptions'!$D$80+'Operating model'!I20*'Assumptions'!$D$74*('Assumptions'!$D$75*'Assumptions'!$D$81+'Assumptions'!$D$82)</x:f>
        <x:v>735757.9080307386</x:v>
      </x:c>
      <x:c r="J42" s="50" t="n">
        <x:f>J41*'Assumptions'!$D$80+'Operating model'!J20*'Assumptions'!$D$74*('Assumptions'!$D$75*'Assumptions'!$D$81+'Assumptions'!$D$82)</x:f>
        <x:v>1745692.513404938</x:v>
      </x:c>
      <x:c r="K42" s="1"/>
      <x:c r="L42" s="1"/>
      <x:c r="M42" s="1"/>
    </x:row>
    <x:row r="43" ht="22" customHeight="1">
      <x:c r="A43" s="1"/>
      <x:c r="B43" s="1"/>
      <x:c r="C43" s="4" t="str">
        <x:v>Provider savings passed through</x:v>
      </x:c>
      <x:c r="D43" s="54" t="n">
        <x:f>(D40-D33)*'Assumptions'!$D$117</x:f>
        <x:v>0</x:v>
      </x:c>
      <x:c r="E43" s="54" t="n">
        <x:f>(E40-E33)*'Assumptions'!$D$117</x:f>
        <x:v>0</x:v>
      </x:c>
      <x:c r="F43" s="54" t="n">
        <x:f>(F40-F33)*'Assumptions'!$D$117</x:f>
        <x:v>0</x:v>
      </x:c>
      <x:c r="G43" s="54" t="n">
        <x:f>(G40-G33)*'Assumptions'!$D$117</x:f>
        <x:v>0</x:v>
      </x:c>
      <x:c r="H43" s="54" t="n">
        <x:f>(H40-H33)*'Assumptions'!$D$117</x:f>
        <x:v>0</x:v>
      </x:c>
      <x:c r="I43" s="54" t="n">
        <x:f>(I40-I33)*'Assumptions'!$D$117</x:f>
        <x:v>0</x:v>
      </x:c>
      <x:c r="J43" s="54" t="n">
        <x:f>(J40-J33)*'Assumptions'!$D$117</x:f>
        <x:v>0</x:v>
      </x:c>
      <x:c r="K43" s="1"/>
      <x:c r="L43" s="1"/>
      <x:c r="M43" s="1"/>
    </x:row>
    <x:row r="44" ht="22" customHeight="1">
      <x:c r="A44" s="1"/>
      <x:c r="B44" s="1"/>
      <x:c r="C44" s="1" t="str">
        <x:v>Payout / account savings retained</x:v>
      </x:c>
      <x:c r="D44" s="22" t="n">
        <x:f>D42-D36</x:f>
        <x:v>506.4610500000002</x:v>
      </x:c>
      <x:c r="E44" s="22" t="n">
        <x:f>E42-E36</x:f>
        <x:v>4552.023961778386</x:v>
      </x:c>
      <x:c r="F44" s="22" t="n">
        <x:f>F42-F36</x:f>
        <x:v>23761.615378752686</x:v>
      </x:c>
      <x:c r="G44" s="22" t="n">
        <x:f>G42-G36</x:f>
        <x:v>88476.3056066978</x:v>
      </x:c>
      <x:c r="H44" s="22" t="n">
        <x:f>H42-H36</x:f>
        <x:v>271991.0932710946</x:v>
      </x:c>
      <x:c r="I44" s="22" t="n">
        <x:f>I42-I36</x:f>
        <x:v>735757.9080307386</x:v>
      </x:c>
      <x:c r="J44" s="22" t="n">
        <x:f>J42-J36</x:f>
        <x:v>1745692.513404938</x:v>
      </x:c>
      <x:c r="K44" s="1"/>
      <x:c r="L44" s="1"/>
      <x:c r="M44" s="1"/>
    </x:row>
    <x:row r="45" ht="22" customHeight="1">
      <x:c r="A45" s="1"/>
      <x:c r="B45" s="1"/>
      <x:c r="C45" s="4" t="str">
        <x:v>Platform impact after build / run costs</x:v>
      </x:c>
      <x:c r="D45" s="54" t="n">
        <x:f>D44+(D40-D33)*(1-'Assumptions'!$D$117)-D30-D31</x:f>
        <x:v>6777.455130000002</x:v>
      </x:c>
      <x:c r="E45" s="54" t="n">
        <x:f>E44+(E40-E33)*(1-'Assumptions'!$D$117)-E30-E31</x:f>
        <x:v>59510.57377840767</x:v>
      </x:c>
      <x:c r="F45" s="54" t="n">
        <x:f>F44+(F40-F33)*(1-'Assumptions'!$D$117)-F30-F31</x:f>
        <x:v>307793.2702347839</x:v>
      </x:c>
      <x:c r="G45" s="54" t="n">
        <x:f>G44+(G40-G33)*(1-'Assumptions'!$D$117)-G30-G31</x:f>
        <x:v>1135323.8415603922</x:v>
      </x:c>
      <x:c r="H45" s="54" t="n">
        <x:f>H44+(H40-H33)*(1-'Assumptions'!$D$117)-H30-H31</x:f>
        <x:v>3471697.828178292</x:v>
      </x:c>
      <x:c r="I45" s="54" t="n">
        <x:f>I44+(I40-I33)*(1-'Assumptions'!$D$117)-I30-I31</x:f>
        <x:v>9359428.554737307</x:v>
      </x:c>
      <x:c r="J45" s="54" t="n">
        <x:f>J44+(J40-J33)*(1-'Assumptions'!$D$117)-J30-J31</x:f>
        <x:v>22119302.74660222</x:v>
      </x:c>
      <x:c r="K45" s="1"/>
      <x:c r="L45" s="1"/>
      <x:c r="M45" s="1"/>
    </x:row>
    <x:row r="46" ht="22" customHeight="1">
      <x:c r="A46" s="1"/>
      <x:c r="B46" s="1"/>
      <x:c r="C46" s="4" t="str">
        <x:v>Cumulative platform impact before tax</x:v>
      </x:c>
      <x:c r="D46" s="24" t="n">
        <x:f>D45+0</x:f>
        <x:v>6777.455130000002</x:v>
      </x:c>
      <x:c r="E46" s="24" t="n">
        <x:f>E45+D46</x:f>
        <x:v>66288.02890840766</x:v>
      </x:c>
      <x:c r="F46" s="24" t="n">
        <x:f>F45+E46</x:f>
        <x:v>374081.29914319154</x:v>
      </x:c>
      <x:c r="G46" s="24" t="n">
        <x:f>G45+F46</x:f>
        <x:v>1509405.1407035836</x:v>
      </x:c>
      <x:c r="H46" s="24" t="n">
        <x:f>H45+G46</x:f>
        <x:v>4981102.968881875</x:v>
      </x:c>
      <x:c r="I46" s="24" t="n">
        <x:f>I45+H46</x:f>
        <x:v>14340531.523619182</x:v>
      </x:c>
      <x:c r="J46" s="24" t="n">
        <x:f>J45+I46</x:f>
        <x:v>36459834.2702214</x:v>
      </x:c>
      <x:c r="K46" s="1"/>
      <x:c r="L46" s="1"/>
      <x:c r="M46" s="1"/>
    </x:row>
    <x:row r="47" ht="22" customHeight="1">
      <x:c r="A47" s="1"/>
      <x:c r="B47" s="1"/>
      <x:c r="C47" s="1"/>
      <x:c r="D47" s="6"/>
      <x:c r="E47" s="6"/>
      <x:c r="F47" s="6"/>
      <x:c r="G47" s="6"/>
      <x:c r="H47" s="6"/>
      <x:c r="I47" s="6"/>
      <x:c r="J47" s="6"/>
      <x:c r="K47" s="1"/>
      <x:c r="L47" s="1"/>
      <x:c r="M47" s="1"/>
    </x:row>
    <x:row r="48" ht="22" customHeight="1">
      <x:c r="A48" s="1"/>
      <x:c r="B48" s="1"/>
      <x:c r="C48" s="1" t="str">
        <x:v>Retained savings cover annual run cost</x:v>
      </x:c>
      <x:c r="D48" s="49" t="str">
        <x:f>IF(D21=0,"Not live",IF(D44+(D40-D33)*(1-'Assumptions'!$D$117)&gt;=D31,"Yes","No"))</x:f>
        <x:v>Not live</x:v>
      </x:c>
      <x:c r="E48" s="49" t="str">
        <x:f>IF(E21=0,"Not live",IF(E44+(E40-E33)*(1-'Assumptions'!$D$117)&gt;=E31,"Yes","No"))</x:f>
        <x:v>Not live</x:v>
      </x:c>
      <x:c r="F48" s="49" t="str">
        <x:f>IF(F21=0,"Not live",IF(F44+(F40-F33)*(1-'Assumptions'!$D$117)&gt;=F31,"Yes","No"))</x:f>
        <x:v>Not live</x:v>
      </x:c>
      <x:c r="G48" s="49" t="str">
        <x:f>IF(G21=0,"Not live",IF(G44+(G40-G33)*(1-'Assumptions'!$D$117)&gt;=G31,"Yes","No"))</x:f>
        <x:v>Not live</x:v>
      </x:c>
      <x:c r="H48" s="49" t="str">
        <x:f>IF(H21=0,"Not live",IF(H44+(H40-H33)*(1-'Assumptions'!$D$117)&gt;=H31,"Yes","No"))</x:f>
        <x:v>Not live</x:v>
      </x:c>
      <x:c r="I48" s="49" t="str">
        <x:f>IF(I21=0,"Not live",IF(I44+(I40-I33)*(1-'Assumptions'!$D$117)&gt;=I31,"Yes","No"))</x:f>
        <x:v>Not live</x:v>
      </x:c>
      <x:c r="J48" s="49" t="str">
        <x:f>IF(J21=0,"Not live",IF(J44+(J40-J33)*(1-'Assumptions'!$D$117)&gt;=J31,"Yes","No"))</x:f>
        <x:v>Not live</x:v>
      </x:c>
      <x:c r="K48" s="1"/>
      <x:c r="L48" s="1"/>
      <x:c r="M48" s="1"/>
    </x:row>
    <x:row r="49" ht="22" customHeight="1">
      <x:c r="A49" s="1"/>
      <x:c r="B49" s="1"/>
      <x:c r="C49" s="1" t="str">
        <x:v>Cumulative build-cost recovery</x:v>
      </x:c>
      <x:c r="D49" s="11" t="str">
        <x:f>IF($D$4=0,"Not selected",IF(D46&gt;=0,IF(D$20&gt;=$D$4,"Recovered","Before build"),"Not recovered"))</x:f>
        <x:v>Not selected</x:v>
      </x:c>
      <x:c r="E49" s="11" t="str">
        <x:f>IF($D$4=0,"Not selected",IF(E46&gt;=0,IF(E$20&gt;=$D$4,"Recovered","Before build"),"Not recovered"))</x:f>
        <x:v>Not selected</x:v>
      </x:c>
      <x:c r="F49" s="11" t="str">
        <x:f>IF($D$4=0,"Not selected",IF(F46&gt;=0,IF(F$20&gt;=$D$4,"Recovered","Before build"),"Not recovered"))</x:f>
        <x:v>Not selected</x:v>
      </x:c>
      <x:c r="G49" s="11" t="str">
        <x:f>IF($D$4=0,"Not selected",IF(G46&gt;=0,IF(G$20&gt;=$D$4,"Recovered","Before build"),"Not recovered"))</x:f>
        <x:v>Not selected</x:v>
      </x:c>
      <x:c r="H49" s="11" t="str">
        <x:f>IF($D$4=0,"Not selected",IF(H46&gt;=0,IF(H$20&gt;=$D$4,"Recovered","Before build"),"Not recovered"))</x:f>
        <x:v>Not selected</x:v>
      </x:c>
      <x:c r="I49" s="11" t="str">
        <x:f>IF($D$4=0,"Not selected",IF(I46&gt;=0,IF(I$20&gt;=$D$4,"Recovered","Before build"),"Not recovered"))</x:f>
        <x:v>Not selected</x:v>
      </x:c>
      <x:c r="J49" s="11" t="str">
        <x:f>IF($D$4=0,"Not selected",IF(J46&gt;=0,IF(J$20&gt;=$D$4,"Recovered","Before build"),"Not recovered"))</x:f>
        <x:v>Not selected</x:v>
      </x:c>
      <x:c r="K49" s="1"/>
      <x:c r="L49" s="1"/>
      <x:c r="M49" s="1"/>
    </x:row>
    <x:row r="50" ht="22" customHeight="1">
      <x:c r="A50" s="1"/>
      <x:c r="B50" s="1"/>
      <x:c r="C50" s="1"/>
      <x:c r="D50" s="6"/>
      <x:c r="E50" s="6"/>
      <x:c r="F50" s="6"/>
      <x:c r="G50" s="6"/>
      <x:c r="H50" s="6"/>
      <x:c r="I50" s="6"/>
      <x:c r="J50" s="6"/>
      <x:c r="K50" s="1"/>
      <x:c r="L50" s="1"/>
      <x:c r="M50" s="1"/>
    </x:row>
    <x:row r="51" ht="22" customHeight="1">
      <x:c r="A51" s="1"/>
      <x:c r="B51" s="1"/>
      <x:c r="C51" s="1" t="str">
        <x:v>Payment switch input check</x:v>
      </x:c>
      <x:c r="D51" s="11" t="n">
        <x:f>IF(OR($D$4=0,AND($D$4&gt;=2028,$D$4&lt;=2033)),0,1)</x:f>
        <x:v>0</x:v>
      </x:c>
      <x:c r="E51" s="11" t="n">
        <x:f>IF(OR($D$4=0,AND($D$4&gt;=2028,$D$4&lt;=2033)),0,1)</x:f>
        <x:v>0</x:v>
      </x:c>
      <x:c r="F51" s="11" t="n">
        <x:f>IF(OR($D$4=0,AND($D$4&gt;=2028,$D$4&lt;=2033)),0,1)</x:f>
        <x:v>0</x:v>
      </x:c>
      <x:c r="G51" s="11" t="n">
        <x:f>IF(OR($D$4=0,AND($D$4&gt;=2028,$D$4&lt;=2033)),0,1)</x:f>
        <x:v>0</x:v>
      </x:c>
      <x:c r="H51" s="11" t="n">
        <x:f>IF(OR($D$4=0,AND($D$4&gt;=2028,$D$4&lt;=2033)),0,1)</x:f>
        <x:v>0</x:v>
      </x:c>
      <x:c r="I51" s="11" t="n">
        <x:f>IF(OR($D$4=0,AND($D$4&gt;=2028,$D$4&lt;=2033)),0,1)</x:f>
        <x:v>0</x:v>
      </x:c>
      <x:c r="J51" s="11" t="n">
        <x:f>IF(OR($D$4=0,AND($D$4&gt;=2028,$D$4&lt;=2033)),0,1)</x:f>
        <x:v>0</x:v>
      </x:c>
      <x:c r="K51" s="1"/>
      <x:c r="L51" s="1"/>
      <x:c r="M51" s="1"/>
    </x:row>
    <x:row r="52" ht="22" customHeight="1">
      <x:c r="A52" s="1"/>
      <x:c r="B52" s="1"/>
      <x:c r="C52" s="1"/>
      <x:c r="D52" s="6"/>
      <x:c r="E52" s="6"/>
      <x:c r="F52" s="6"/>
      <x:c r="G52" s="6"/>
      <x:c r="H52" s="6"/>
      <x:c r="I52" s="6"/>
      <x:c r="J52" s="6"/>
      <x:c r="K52" s="1"/>
      <x:c r="L52" s="1"/>
      <x:c r="M52" s="1"/>
    </x:row>
    <x:row r="53" ht="22" customHeight="1">
      <x:c r="A53" s="1"/>
      <x:c r="B53" s="1"/>
      <x:c r="C53" s="1"/>
      <x:c r="D53" s="6"/>
      <x:c r="E53" s="6"/>
      <x:c r="F53" s="6"/>
      <x:c r="G53" s="6"/>
      <x:c r="H53" s="6"/>
      <x:c r="I53" s="6"/>
      <x:c r="J53" s="6"/>
      <x:c r="K53" s="1"/>
      <x:c r="L53" s="1"/>
      <x:c r="M53" s="1"/>
    </x:row>
    <x:row r="54" ht="22" customHeight="1">
      <x:c r="A54" s="1"/>
      <x:c r="B54" s="1"/>
      <x:c r="C54" s="32" t="str">
        <x:v>Default is 0: retain Stripe. Enter 2028 for year-two launch or 2029 for year-three launch. Build and operations are fully expensed. Rates replace Stripe only after launch. Bank verification, payment losses and risk cash remain in the model.</x:v>
      </x:c>
      <x:c r="D54" s="33"/>
      <x:c r="E54" s="33"/>
      <x:c r="F54" s="33"/>
      <x:c r="G54" s="33"/>
      <x:c r="H54" s="33"/>
      <x:c r="I54" s="33"/>
      <x:c r="J54" s="33"/>
      <x:c r="K54" s="1"/>
      <x:c r="L54" s="1"/>
      <x:c r="M54" s="1"/>
    </x:row>
    <x:row r="55" ht="22" customHeight="1">
      <x:c r="A55" s="1"/>
      <x:c r="B55" s="1"/>
      <x:c r="C55" s="32"/>
      <x:c r="D55" s="33"/>
      <x:c r="E55" s="33"/>
      <x:c r="F55" s="33"/>
      <x:c r="G55" s="33"/>
      <x:c r="H55" s="33"/>
      <x:c r="I55" s="33"/>
      <x:c r="J55" s="33"/>
      <x:c r="K55" s="1"/>
      <x:c r="L55" s="1"/>
      <x:c r="M55" s="1"/>
    </x:row>
    <x:row r="56" ht="22" customHeight="1">
      <x:c r="A56" s="1"/>
      <x:c r="B56" s="1"/>
      <x:c r="C56" s="1"/>
      <x:c r="D56" s="6"/>
      <x:c r="E56" s="6"/>
      <x:c r="F56" s="6"/>
      <x:c r="G56" s="6"/>
      <x:c r="H56" s="6"/>
      <x:c r="I56" s="6"/>
      <x:c r="J56" s="6"/>
      <x:c r="K56" s="1"/>
      <x:c r="L56" s="1"/>
      <x:c r="M56" s="1"/>
    </x:row>
    <x:row r="57" ht="22" customHeight="1">
      <x:c r="A57" s="1"/>
      <x:c r="B57" s="1"/>
      <x:c r="C57" s="32" t="str">
        <x:v>Processing savings are passed to providers when recovery is 100%. YardMatch retains only payout/account savings, less incremental build and run costs. Comparison holds volume and platform pricing constant. It is a pre-tax decision test.</x:v>
      </x:c>
      <x:c r="D57" s="33"/>
      <x:c r="E57" s="33"/>
      <x:c r="F57" s="33"/>
      <x:c r="G57" s="33"/>
      <x:c r="H57" s="33"/>
      <x:c r="I57" s="33"/>
      <x:c r="J57" s="33"/>
      <x:c r="K57" s="1"/>
      <x:c r="L57" s="1"/>
      <x:c r="M57" s="1"/>
    </x:row>
    <x:row r="58" ht="22" customHeight="1">
      <x:c r="A58" s="1"/>
      <x:c r="B58" s="1"/>
      <x:c r="C58" s="32"/>
      <x:c r="D58" s="33"/>
      <x:c r="E58" s="33"/>
      <x:c r="F58" s="33"/>
      <x:c r="G58" s="33"/>
      <x:c r="H58" s="33"/>
      <x:c r="I58" s="33"/>
      <x:c r="J58" s="33"/>
      <x:c r="K58" s="1"/>
      <x:c r="L58" s="1"/>
      <x:c r="M58" s="1"/>
    </x:row>
    <x:row r="59" ht="22" customHeight="1">
      <x:c r="A59" s="1"/>
      <x:c r="B59" s="1"/>
      <x:c r="C59" s="1"/>
      <x:c r="D59" s="6"/>
      <x:c r="E59" s="6"/>
      <x:c r="F59" s="6"/>
      <x:c r="G59" s="6"/>
      <x:c r="H59" s="6"/>
      <x:c r="I59" s="6"/>
      <x:c r="J59" s="6"/>
      <x:c r="K59" s="1"/>
      <x:c r="L59" s="1"/>
      <x:c r="M59" s="1"/>
    </x:row>
    <x:row r="60" ht="22" customHeight="1">
      <x:c r="A60" s="1"/>
      <x:c r="B60" s="1"/>
      <x:c r="C60" s="32" t="str">
        <x:v>Stripe standard US processing and Connect sources: https://stripe.com/pricing and https://stripe.com/connect/pricing. Platform-controlled pricing assumed. Alternative card cost includes acquiring, network and processing estimates, not only a gateway fee.</x:v>
      </x:c>
      <x:c r="D60" s="33"/>
      <x:c r="E60" s="33"/>
      <x:c r="F60" s="33"/>
      <x:c r="G60" s="33"/>
      <x:c r="H60" s="33"/>
      <x:c r="I60" s="33"/>
      <x:c r="J60" s="33"/>
      <x:c r="K60" s="1"/>
      <x:c r="L60" s="1"/>
      <x:c r="M60" s="1"/>
    </x:row>
    <x:row r="61" ht="22" customHeight="1">
      <x:c r="A61" s="1"/>
      <x:c r="B61" s="1"/>
      <x:c r="C61" s="32"/>
      <x:c r="D61" s="33"/>
      <x:c r="E61" s="33"/>
      <x:c r="F61" s="33"/>
      <x:c r="G61" s="33"/>
      <x:c r="H61" s="33"/>
      <x:c r="I61" s="33"/>
      <x:c r="J61" s="33"/>
      <x:c r="K61" s="1"/>
      <x:c r="L61" s="1"/>
      <x:c r="M61" s="1"/>
    </x:row>
    <x:row r="62" ht="22" customHeight="1">
      <x:c r="A62" s="1"/>
      <x:c r="B62" s="1"/>
      <x:c r="C62" s="1"/>
      <x:c r="D62" s="6"/>
      <x:c r="E62" s="6"/>
      <x:c r="F62" s="6"/>
      <x:c r="G62" s="6"/>
      <x:c r="H62" s="6"/>
      <x:c r="I62" s="6"/>
      <x:c r="J62" s="6"/>
      <x:c r="K62" s="1"/>
      <x:c r="L62" s="1"/>
      <x:c r="M62" s="1"/>
    </x:row>
    <x:row r="63" ht="22" customHeight="1">
      <x:c r="A63" s="1"/>
      <x:c r="B63" s="1"/>
      <x:c r="C63" s="32" t="str">
        <x:v>Interchange survives a software build: https://usa.visa.com/support/small-business/regulations-fees.html . ACH still uses financial institutions and paid rails: https://www.frbservices.org/resources/fees/ach-2026 . Federal Reserve fees are not a direct merchant quote.</x:v>
      </x:c>
      <x:c r="D63" s="33"/>
      <x:c r="E63" s="33"/>
      <x:c r="F63" s="33"/>
      <x:c r="G63" s="33"/>
      <x:c r="H63" s="33"/>
      <x:c r="I63" s="33"/>
      <x:c r="J63" s="33"/>
      <x:c r="K63" s="1"/>
      <x:c r="L63" s="1"/>
      <x:c r="M63" s="1"/>
    </x:row>
    <x:row r="64" ht="22" customHeight="1">
      <x:c r="A64" s="1"/>
      <x:c r="B64" s="1"/>
      <x:c r="C64" s="32"/>
      <x:c r="D64" s="33"/>
      <x:c r="E64" s="33"/>
      <x:c r="F64" s="33"/>
      <x:c r="G64" s="33"/>
      <x:c r="H64" s="33"/>
      <x:c r="I64" s="33"/>
      <x:c r="J64" s="33"/>
      <x:c r="K64" s="1"/>
      <x:c r="L64" s="1"/>
      <x:c r="M64" s="1"/>
    </x:row>
    <x:row r="65" ht="22" customHeight="1">
      <x:c r="A65" s="1"/>
      <x:c r="B65" s="1"/>
      <x:c r="C65" s="1"/>
      <x:c r="D65" s="6"/>
      <x:c r="E65" s="6"/>
      <x:c r="F65" s="6"/>
      <x:c r="G65" s="6"/>
      <x:c r="H65" s="6"/>
      <x:c r="I65" s="6"/>
      <x:c r="J65" s="6"/>
      <x:c r="K65" s="1"/>
      <x:c r="L65" s="1"/>
      <x:c r="M65" s="1"/>
    </x:row>
    <x:row r="66" ht="22" customHeight="1">
      <x:c r="A66" s="1"/>
      <x:c r="B66" s="1"/>
      <x:c r="C66" s="32" t="str">
        <x:v>Card-data security obligations remain: https://www.pcisecuritystandards.org/standards/pci-dss/ . Before a build: obtain sponsor/acquirer quotes, security scope, migration plan and measured reliability. No licenses or production changes are assumed here.</x:v>
      </x:c>
      <x:c r="D66" s="33"/>
      <x:c r="E66" s="33"/>
      <x:c r="F66" s="33"/>
      <x:c r="G66" s="33"/>
      <x:c r="H66" s="33"/>
      <x:c r="I66" s="33"/>
      <x:c r="J66" s="33"/>
      <x:c r="K66" s="1"/>
      <x:c r="L66" s="1"/>
      <x:c r="M66" s="1"/>
    </x:row>
    <x:row r="67" ht="22" customHeight="1">
      <x:c r="A67" s="1"/>
      <x:c r="B67" s="1"/>
      <x:c r="C67" s="32"/>
      <x:c r="D67" s="33"/>
      <x:c r="E67" s="33"/>
      <x:c r="F67" s="33"/>
      <x:c r="G67" s="33"/>
      <x:c r="H67" s="33"/>
      <x:c r="I67" s="33"/>
      <x:c r="J67" s="33"/>
      <x:c r="K67" s="1"/>
      <x:c r="L67" s="1"/>
      <x:c r="M67" s="1"/>
    </x:row>
    <x:row r="68" ht="22" customHeight="1">
      <x:c r="A68" s="1"/>
      <x:c r="B68" s="1"/>
      <x:c r="C68" s="1"/>
      <x:c r="D68" s="6"/>
      <x:c r="E68" s="6"/>
      <x:c r="F68" s="6"/>
      <x:c r="G68" s="6"/>
      <x:c r="H68" s="6"/>
      <x:c r="I68" s="6"/>
      <x:c r="J68" s="6"/>
      <x:c r="K68" s="1"/>
      <x:c r="L68" s="1"/>
      <x:c r="M68" s="1"/>
    </x:row>
    <x:row r="69" ht="22" customHeight="1">
      <x:c r="A69" s="1"/>
      <x:c r="B69" s="1"/>
      <x:c r="C69" s="1"/>
      <x:c r="D69" s="6"/>
      <x:c r="E69" s="6"/>
      <x:c r="F69" s="6"/>
      <x:c r="G69" s="6"/>
      <x:c r="H69" s="6"/>
      <x:c r="I69" s="6"/>
      <x:c r="J69" s="6"/>
      <x:c r="K69" s="1"/>
      <x:c r="L69" s="1"/>
      <x:c r="M69" s="1"/>
    </x:row>
    <x:row r="70" ht="22" customHeight="1">
      <x:c r="A70" s="1"/>
      <x:c r="B70" s="1"/>
      <x:c r="C70" s="1"/>
      <x:c r="D70" s="6"/>
      <x:c r="E70" s="6"/>
      <x:c r="F70" s="6"/>
      <x:c r="G70" s="6"/>
      <x:c r="H70" s="6"/>
      <x:c r="I70" s="6"/>
      <x:c r="J70" s="6"/>
      <x:c r="K70" s="1"/>
      <x:c r="L70" s="1"/>
      <x:c r="M70" s="1"/>
    </x:row>
    <x:row r="71" ht="22" customHeight="1">
      <x:c r="A71" s="1"/>
      <x:c r="B71" s="1"/>
      <x:c r="C71" s="1"/>
      <x:c r="D71" s="6"/>
      <x:c r="E71" s="6"/>
      <x:c r="F71" s="6"/>
      <x:c r="G71" s="6"/>
      <x:c r="H71" s="6"/>
      <x:c r="I71" s="6"/>
      <x:c r="J71" s="6"/>
      <x:c r="K71" s="1"/>
      <x:c r="L71" s="1"/>
      <x:c r="M71" s="1"/>
    </x:row>
    <x:row r="72" ht="22" customHeight="1">
      <x:c r="A72" s="1"/>
      <x:c r="B72" s="1"/>
      <x:c r="C72" s="1"/>
      <x:c r="D72" s="6"/>
      <x:c r="E72" s="6"/>
      <x:c r="F72" s="6"/>
      <x:c r="G72" s="6"/>
      <x:c r="H72" s="6"/>
      <x:c r="I72" s="6"/>
      <x:c r="J72" s="6"/>
      <x:c r="K72" s="1"/>
      <x:c r="L72" s="1"/>
      <x:c r="M72" s="1"/>
    </x:row>
    <x:row r="73" ht="22" customHeight="1">
      <x:c r="A73" s="1"/>
      <x:c r="B73" s="1"/>
      <x:c r="C73" s="1"/>
      <x:c r="D73" s="6"/>
      <x:c r="E73" s="6"/>
      <x:c r="F73" s="6"/>
      <x:c r="G73" s="6"/>
      <x:c r="H73" s="6"/>
      <x:c r="I73" s="6"/>
      <x:c r="J73" s="6"/>
      <x:c r="K73" s="1"/>
      <x:c r="L73" s="1"/>
      <x:c r="M73" s="1"/>
    </x:row>
    <x:row r="74" ht="22" customHeight="1">
      <x:c r="A74" s="1"/>
      <x:c r="B74" s="1"/>
      <x:c r="C74" s="1"/>
      <x:c r="D74" s="6"/>
      <x:c r="E74" s="6"/>
      <x:c r="F74" s="6"/>
      <x:c r="G74" s="6"/>
      <x:c r="H74" s="6"/>
      <x:c r="I74" s="6"/>
      <x:c r="J74" s="6"/>
      <x:c r="K74" s="1"/>
      <x:c r="L74" s="1"/>
      <x:c r="M74" s="1"/>
    </x:row>
    <x:row r="75" ht="22" customHeight="1">
      <x:c r="A75" s="1"/>
      <x:c r="B75" s="1"/>
      <x:c r="C75" s="1"/>
      <x:c r="D75" s="6"/>
      <x:c r="E75" s="6"/>
      <x:c r="F75" s="6"/>
      <x:c r="G75" s="6"/>
      <x:c r="H75" s="6"/>
      <x:c r="I75" s="6"/>
      <x:c r="J75" s="6"/>
      <x:c r="K75" s="1"/>
      <x:c r="L75" s="1"/>
      <x:c r="M75" s="1"/>
    </x:row>
    <x:row r="76" ht="22" customHeight="1">
      <x:c r="A76" s="1"/>
      <x:c r="B76" s="1"/>
      <x:c r="C76" s="1"/>
      <x:c r="D76" s="6"/>
      <x:c r="E76" s="6"/>
      <x:c r="F76" s="6"/>
      <x:c r="G76" s="6"/>
      <x:c r="H76" s="6"/>
      <x:c r="I76" s="6"/>
      <x:c r="J76" s="6"/>
      <x:c r="K76" s="1"/>
      <x:c r="L76" s="1"/>
      <x:c r="M76" s="1"/>
    </x:row>
    <x:row r="77" ht="22" customHeight="1">
      <x:c r="A77" s="1"/>
      <x:c r="B77" s="1"/>
      <x:c r="C77" s="1"/>
      <x:c r="D77" s="6"/>
      <x:c r="E77" s="6"/>
      <x:c r="F77" s="6"/>
      <x:c r="G77" s="6"/>
      <x:c r="H77" s="6"/>
      <x:c r="I77" s="6"/>
      <x:c r="J77" s="6"/>
      <x:c r="K77" s="1"/>
      <x:c r="L77" s="1"/>
      <x:c r="M77" s="1"/>
    </x:row>
    <x:row r="78" ht="22" customHeight="1">
      <x:c r="A78" s="1"/>
      <x:c r="B78" s="1"/>
      <x:c r="C78" s="1"/>
      <x:c r="D78" s="6"/>
      <x:c r="E78" s="6"/>
      <x:c r="F78" s="6"/>
      <x:c r="G78" s="6"/>
      <x:c r="H78" s="6"/>
      <x:c r="I78" s="6"/>
      <x:c r="J78" s="6"/>
      <x:c r="K78" s="1"/>
      <x:c r="L78" s="1"/>
      <x:c r="M78" s="1"/>
    </x:row>
    <x:row r="79" ht="22" customHeight="1">
      <x:c r="A79" s="1"/>
      <x:c r="B79" s="1"/>
      <x:c r="C79" s="1"/>
      <x:c r="D79" s="6"/>
      <x:c r="E79" s="6"/>
      <x:c r="F79" s="6"/>
      <x:c r="G79" s="6"/>
      <x:c r="H79" s="6"/>
      <x:c r="I79" s="6"/>
      <x:c r="J79" s="6"/>
      <x:c r="K79" s="1"/>
      <x:c r="L79" s="1"/>
      <x:c r="M79" s="1"/>
    </x:row>
    <x:row r="80" ht="22" customHeight="1">
      <x:c r="A80" s="1"/>
      <x:c r="B80" s="1"/>
      <x:c r="C80" s="1"/>
      <x:c r="D80" s="6"/>
      <x:c r="E80" s="6"/>
      <x:c r="F80" s="6"/>
      <x:c r="G80" s="6"/>
      <x:c r="H80" s="6"/>
      <x:c r="I80" s="6"/>
      <x:c r="J80" s="6"/>
      <x:c r="K80" s="1"/>
      <x:c r="L80" s="1"/>
      <x:c r="M80" s="1"/>
    </x:row>
    <x:row r="81" ht="22" customHeight="1">
      <x:c r="A81" s="1"/>
      <x:c r="B81" s="1"/>
      <x:c r="C81" s="1"/>
      <x:c r="D81" s="6"/>
      <x:c r="E81" s="6"/>
      <x:c r="F81" s="6"/>
      <x:c r="G81" s="6"/>
      <x:c r="H81" s="6"/>
      <x:c r="I81" s="6"/>
      <x:c r="J81" s="6"/>
      <x:c r="K81" s="1"/>
      <x:c r="L81" s="1"/>
      <x:c r="M81" s="1"/>
    </x:row>
    <x:row r="82" ht="22" customHeight="1">
      <x:c r="A82" s="1"/>
      <x:c r="B82" s="1"/>
      <x:c r="C82" s="1"/>
      <x:c r="D82" s="6"/>
      <x:c r="E82" s="6"/>
      <x:c r="F82" s="6"/>
      <x:c r="G82" s="6"/>
      <x:c r="H82" s="6"/>
      <x:c r="I82" s="6"/>
      <x:c r="J82" s="6"/>
      <x:c r="K82" s="1"/>
      <x:c r="L82" s="1"/>
      <x:c r="M82" s="1"/>
    </x:row>
  </x:sheetData>
  <x:mergeCells>
    <x:mergeCell ref="C18:J19"/>
    <x:mergeCell ref="C54:J55"/>
    <x:mergeCell ref="C57:J58"/>
    <x:mergeCell ref="C60:J61"/>
    <x:mergeCell ref="C63:J64"/>
    <x:mergeCell ref="C66:J67"/>
  </x:mergeCells>
  <x:dataValidations count="1">
    <x:dataValidation type="whole" operator="between" sqref="D4">
      <x:formula1>0</x:formula1>
      <x:formula2>2033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Optional revenue streams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 t="str">
        <x:v>Provider product case</x:v>
      </x:c>
      <x:c r="D3" s="9" t="str">
        <x:v>Subscriptions</x:v>
      </x:c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 t="str">
        <x:v>Growth case</x:v>
      </x:c>
      <x:c r="D4" s="59" t="str">
        <x:f>'Assumptions'!D3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str">
        <x:v>Editable assumption</x:v>
      </x:c>
      <x:c r="E5" s="81"/>
      <x:c r="F5" s="81"/>
      <x:c r="G5" s="81"/>
      <x:c r="H5" s="81"/>
      <x:c r="I5" s="81"/>
      <x:c r="J5" s="81"/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Pro / provider business / paid month</x:v>
      </x:c>
      <x:c r="D7" s="27" t="n">
        <x:v>49</x:v>
      </x:c>
      <x:c r="E7" s="6"/>
      <x:c r="F7" s="6"/>
      <x:c r="G7" s="6"/>
      <x:c r="H7" s="6"/>
      <x:c r="I7" s="6"/>
      <x:c r="J7" s="6"/>
      <x:c r="K7" s="1"/>
      <x:c r="L7" s="1"/>
      <x:c r="M7" s="1"/>
    </x:row>
    <x:row r="8" ht="22" customHeight="1">
      <x:c r="A8" s="1"/>
      <x:c r="B8" s="1"/>
      <x:c r="C8" s="1" t="str">
        <x:v>Teams / business / paid month (includes Pro)</x:v>
      </x:c>
      <x:c r="D8" s="27" t="n">
        <x:v>99</x:v>
      </x:c>
      <x:c r="E8" s="6"/>
      <x:c r="F8" s="6"/>
      <x:c r="G8" s="6"/>
      <x:c r="H8" s="6"/>
      <x:c r="I8" s="6"/>
      <x:c r="J8" s="6"/>
      <x:c r="K8" s="1"/>
      <x:c r="L8" s="1"/>
      <x:c r="M8" s="1"/>
    </x:row>
    <x:row r="9" ht="22" customHeight="1">
      <x:c r="A9" s="1"/>
      <x:c r="B9" s="1"/>
      <x:c r="C9" s="1" t="str">
        <x:v>Sponsorship / completed new relationship</x:v>
      </x:c>
      <x:c r="D9" s="27" t="n">
        <x:v>15</x:v>
      </x:c>
      <x:c r="E9" s="6"/>
      <x:c r="F9" s="6"/>
      <x:c r="G9" s="6"/>
      <x:c r="H9" s="6"/>
      <x:c r="I9" s="6"/>
      <x:c r="J9" s="6"/>
      <x:c r="K9" s="1"/>
      <x:c r="L9" s="1"/>
      <x:c r="M9" s="1"/>
    </x:row>
    <x:row r="10" ht="22" customHeight="1">
      <x:c r="A10" s="1"/>
      <x:c r="B10" s="1"/>
      <x:c r="C10" s="1" t="str">
        <x:v>Credits / noncollection / gross billings</x:v>
      </x:c>
      <x:c r="D10" s="17" t="n">
        <x:v>0.02</x:v>
      </x:c>
      <x:c r="E10" s="6"/>
      <x:c r="F10" s="6"/>
      <x:c r="G10" s="6"/>
      <x:c r="H10" s="6"/>
      <x:c r="I10" s="6"/>
      <x:c r="J10" s="6"/>
      <x:c r="K10" s="1"/>
      <x:c r="L10" s="1"/>
      <x:c r="M10" s="1"/>
    </x:row>
    <x:row r="11" ht="22" customHeight="1">
      <x:c r="A11" s="1"/>
      <x:c r="B11" s="1"/>
      <x:c r="C11" s="1" t="str">
        <x:v>Pro variable delivery / paid month</x:v>
      </x:c>
      <x:c r="D11" s="27" t="n">
        <x:v>6</x:v>
      </x:c>
      <x:c r="E11" s="6"/>
      <x:c r="F11" s="6"/>
      <x:c r="G11" s="6"/>
      <x:c r="H11" s="6"/>
      <x:c r="I11" s="6"/>
      <x:c r="J11" s="6"/>
      <x:c r="K11" s="1"/>
      <x:c r="L11" s="1"/>
      <x:c r="M11" s="1"/>
    </x:row>
    <x:row r="12" ht="22" customHeight="1">
      <x:c r="A12" s="1"/>
      <x:c r="B12" s="1"/>
      <x:c r="C12" s="1" t="str">
        <x:v>Teams variable delivery / paid month</x:v>
      </x:c>
      <x:c r="D12" s="27" t="n">
        <x:v>14</x:v>
      </x:c>
      <x:c r="E12" s="6"/>
      <x:c r="F12" s="6"/>
      <x:c r="G12" s="6"/>
      <x:c r="H12" s="6"/>
      <x:c r="I12" s="6"/>
      <x:c r="J12" s="6"/>
      <x:c r="K12" s="1"/>
      <x:c r="L12" s="1"/>
      <x:c r="M12" s="1"/>
    </x:row>
    <x:row r="13" ht="22" customHeight="1">
      <x:c r="A13" s="1"/>
      <x:c r="B13" s="1"/>
      <x:c r="C13" s="1" t="str">
        <x:v>Billing software / gross billings</x:v>
      </x:c>
      <x:c r="D13" s="17" t="n">
        <x:v>0.007</x:v>
      </x:c>
      <x:c r="E13" s="6"/>
      <x:c r="F13" s="6"/>
      <x:c r="G13" s="6"/>
      <x:c r="H13" s="6"/>
      <x:c r="I13" s="6"/>
      <x:c r="J13" s="6"/>
      <x:c r="K13" s="1"/>
      <x:c r="L13" s="1"/>
      <x:c r="M13" s="1"/>
    </x:row>
    <x:row r="14" ht="22" customHeight="1">
      <x:c r="A14" s="1"/>
      <x:c r="B14" s="1"/>
      <x:c r="C14" s="1" t="str">
        <x:v>Card processing on provider invoices</x:v>
      </x:c>
      <x:c r="D14" s="17" t="n">
        <x:v>0.029</x:v>
      </x:c>
      <x:c r="E14" s="6"/>
      <x:c r="F14" s="6"/>
      <x:c r="G14" s="6"/>
      <x:c r="H14" s="6"/>
      <x:c r="I14" s="6"/>
      <x:c r="J14" s="6"/>
      <x:c r="K14" s="1"/>
      <x:c r="L14" s="1"/>
      <x:c r="M14" s="1"/>
    </x:row>
    <x:row r="15" ht="22" customHeight="1">
      <x:c r="A15" s="1"/>
      <x:c r="B15" s="1"/>
      <x:c r="C15" s="1" t="str">
        <x:v>Fixed processing / provider invoice</x:v>
      </x:c>
      <x:c r="D15" s="27" t="n">
        <x:v>0.3</x:v>
      </x:c>
      <x:c r="E15" s="6"/>
      <x:c r="F15" s="6"/>
      <x:c r="G15" s="6"/>
      <x:c r="H15" s="6"/>
      <x:c r="I15" s="6"/>
      <x:c r="J15" s="6"/>
      <x:c r="K15" s="1"/>
      <x:c r="L15" s="1"/>
      <x:c r="M15" s="1"/>
    </x:row>
    <x:row r="16" ht="22" customHeight="1">
      <x:c r="A16" s="1"/>
      <x:c r="B16" s="1"/>
      <x:c r="C16" s="1" t="str">
        <x:v>Overlap: ad invoices also on a paid plan</x:v>
      </x:c>
      <x:c r="D16" s="17" t="n">
        <x:v>0.5</x:v>
      </x:c>
      <x:c r="E16" s="6"/>
      <x:c r="F16" s="6"/>
      <x:c r="G16" s="6"/>
      <x:c r="H16" s="6"/>
      <x:c r="I16" s="6"/>
      <x:c r="J16" s="6"/>
      <x:c r="K16" s="1"/>
      <x:c r="L16" s="1"/>
      <x:c r="M16" s="1"/>
    </x:row>
    <x:row r="17" ht="22" customHeight="1">
      <x:c r="A17" s="1"/>
      <x:c r="B17" s="1"/>
      <x:c r="C17" s="1" t="str">
        <x:v>Sponsor maximum monthly budget</x:v>
      </x:c>
      <x:c r="D17" s="23" t="n">
        <x:v>150</x:v>
      </x:c>
      <x:c r="E17" s="6"/>
      <x:c r="F17" s="6"/>
      <x:c r="G17" s="6"/>
      <x:c r="H17" s="6"/>
      <x:c r="I17" s="6"/>
      <x:c r="J17" s="6"/>
      <x:c r="K17" s="1"/>
      <x:c r="L17" s="1"/>
      <x:c r="M17" s="1"/>
    </x:row>
    <x:row r="18" ht="22" customHeight="1">
      <x:c r="A18" s="1"/>
      <x:c r="B18" s="1"/>
      <x:c r="C18" s="1" t="str">
        <x:v>Advertising-active months</x:v>
      </x:c>
      <x:c r="D18" s="43" t="n">
        <x:v>8</x:v>
      </x:c>
      <x:c r="E18" s="6"/>
      <x:c r="F18" s="6"/>
      <x:c r="G18" s="6"/>
      <x:c r="H18" s="6"/>
      <x:c r="I18" s="6"/>
      <x:c r="J18" s="6"/>
      <x:c r="K18" s="1"/>
      <x:c r="L18" s="1"/>
      <x:c r="M18" s="1"/>
    </x:row>
    <x:row r="19" ht="22" customHeight="1">
      <x:c r="A19" s="1"/>
      <x:c r="B19" s="1"/>
      <x:c r="C19" s="1" t="str">
        <x:v>Minimum first service bill for sponsorship</x:v>
      </x:c>
      <x:c r="D19" s="23" t="n">
        <x:v>150</x:v>
      </x:c>
      <x:c r="E19" s="6"/>
      <x:c r="F19" s="6"/>
      <x:c r="G19" s="6"/>
      <x:c r="H19" s="6"/>
      <x:c r="I19" s="6"/>
      <x:c r="J19" s="6"/>
      <x:c r="K19" s="1"/>
      <x:c r="L19" s="1"/>
      <x:c r="M19" s="1"/>
    </x:row>
    <x:row r="20" ht="22" customHeight="1">
      <x:c r="A20" s="1"/>
      <x:c r="B20" s="1"/>
      <x:c r="C20" s="1" t="str">
        <x:v>Ad delivery / reporting / gross ad billings</x:v>
      </x:c>
      <x:c r="D20" s="17" t="n">
        <x:v>0.1</x:v>
      </x:c>
      <x:c r="E20" s="6"/>
      <x:c r="F20" s="6"/>
      <x:c r="G20" s="6"/>
      <x:c r="H20" s="6"/>
      <x:c r="I20" s="6"/>
      <x:c r="J20" s="6"/>
      <x:c r="K20" s="1"/>
      <x:c r="L20" s="1"/>
      <x:c r="M20" s="1"/>
    </x:row>
    <x:row r="21" ht="22" customHeight="1">
      <x:c r="A21" s="1"/>
      <x:c r="B21" s="1"/>
      <x:c r="C21" s="1"/>
      <x:c r="D21" s="6"/>
      <x:c r="E21" s="6"/>
      <x:c r="F21" s="6"/>
      <x:c r="G21" s="6"/>
      <x:c r="H21" s="6"/>
      <x:c r="I21" s="6"/>
      <x:c r="J21" s="6"/>
      <x:c r="K21" s="1"/>
      <x:c r="L21" s="1"/>
      <x:c r="M21" s="1"/>
    </x:row>
    <x:row r="22" ht="22" customHeight="1">
      <x:c r="A22" s="1"/>
      <x:c r="B22" s="1"/>
      <x:c r="C22" s="1"/>
      <x:c r="D22" s="6"/>
      <x:c r="E22" s="6"/>
      <x:c r="F22" s="6"/>
      <x:c r="G22" s="6"/>
      <x:c r="H22" s="6"/>
      <x:c r="I22" s="6"/>
      <x:c r="J22" s="6"/>
      <x:c r="K22" s="1"/>
      <x:c r="L22" s="1"/>
      <x:c r="M22" s="1"/>
    </x:row>
    <x:row r="23" ht="22" customHeight="1">
      <x:c r="A23" s="1"/>
      <x:c r="B23" s="1"/>
      <x:c r="C23" s="1" t="str">
        <x:v>Subscription launch year</x:v>
      </x:c>
      <x:c r="D23" s="43" t="n">
        <x:v>2028</x:v>
      </x:c>
      <x:c r="E23" s="6"/>
      <x:c r="F23" s="6"/>
      <x:c r="G23" s="6"/>
      <x:c r="H23" s="6"/>
      <x:c r="I23" s="6"/>
      <x:c r="J23" s="6"/>
      <x:c r="K23" s="1"/>
      <x:c r="L23" s="1"/>
      <x:c r="M23" s="1"/>
    </x:row>
    <x:row r="24" ht="22" customHeight="1">
      <x:c r="A24" s="1"/>
      <x:c r="B24" s="1"/>
      <x:c r="C24" s="1" t="str">
        <x:v>Sponsorship pilot launch year</x:v>
      </x:c>
      <x:c r="D24" s="43" t="n">
        <x:v>2030</x:v>
      </x:c>
      <x:c r="E24" s="6"/>
      <x:c r="F24" s="6"/>
      <x:c r="G24" s="6"/>
      <x:c r="H24" s="6"/>
      <x:c r="I24" s="6"/>
      <x:c r="J24" s="6"/>
      <x:c r="K24" s="1"/>
      <x:c r="L24" s="1"/>
      <x:c r="M24" s="1"/>
    </x:row>
    <x:row r="25" ht="22" customHeight="1">
      <x:c r="A25" s="1"/>
      <x:c r="B25" s="1"/>
      <x:c r="C25" s="1" t="str">
        <x:v>Subscription / Teams total build expense</x:v>
      </x:c>
      <x:c r="D25" s="23" t="n">
        <x:v>120000</x:v>
      </x:c>
      <x:c r="E25" s="6"/>
      <x:c r="F25" s="6"/>
      <x:c r="G25" s="6"/>
      <x:c r="H25" s="6"/>
      <x:c r="I25" s="6"/>
      <x:c r="J25" s="6"/>
      <x:c r="K25" s="1"/>
      <x:c r="L25" s="1"/>
      <x:c r="M25" s="1"/>
    </x:row>
    <x:row r="26" ht="22" customHeight="1">
      <x:c r="A26" s="1"/>
      <x:c r="B26" s="1"/>
      <x:c r="C26" s="1" t="str">
        <x:v>Sponsorship total build expense</x:v>
      </x:c>
      <x:c r="D26" s="23" t="n">
        <x:v>50000</x:v>
      </x:c>
      <x:c r="E26" s="6"/>
      <x:c r="F26" s="6"/>
      <x:c r="G26" s="6"/>
      <x:c r="H26" s="6"/>
      <x:c r="I26" s="6"/>
      <x:c r="J26" s="6"/>
      <x:c r="K26" s="1"/>
      <x:c r="L26" s="1"/>
      <x:c r="M26" s="1"/>
    </x:row>
    <x:row r="27" ht="22" customHeight="1">
      <x:c r="A27" s="1"/>
      <x:c r="B27" s="1"/>
      <x:c r="C27" s="1" t="str">
        <x:v>Subscription annual fixed cost at launch</x:v>
      </x:c>
      <x:c r="D27" s="23" t="n">
        <x:v>60000</x:v>
      </x:c>
      <x:c r="E27" s="6"/>
      <x:c r="F27" s="6"/>
      <x:c r="G27" s="6"/>
      <x:c r="H27" s="6"/>
      <x:c r="I27" s="6"/>
      <x:c r="J27" s="6"/>
      <x:c r="K27" s="1"/>
      <x:c r="L27" s="1"/>
      <x:c r="M27" s="1"/>
    </x:row>
    <x:row r="28" ht="22" customHeight="1">
      <x:c r="A28" s="1"/>
      <x:c r="B28" s="1"/>
      <x:c r="C28" s="1" t="str">
        <x:v>Sponsorship annual fixed cost at launch</x:v>
      </x:c>
      <x:c r="D28" s="23" t="n">
        <x:v>30000</x:v>
      </x:c>
      <x:c r="E28" s="6"/>
      <x:c r="F28" s="6"/>
      <x:c r="G28" s="6"/>
      <x:c r="H28" s="6"/>
      <x:c r="I28" s="6"/>
      <x:c r="J28" s="6"/>
      <x:c r="K28" s="1"/>
      <x:c r="L28" s="1"/>
      <x:c r="M28" s="1"/>
    </x:row>
    <x:row r="29" ht="22" customHeight="1">
      <x:c r="A29" s="1"/>
      <x:c r="B29" s="1"/>
      <x:c r="C29" s="1" t="str">
        <x:v>Subscription annual fixed-cost growth</x:v>
      </x:c>
      <x:c r="D29" s="42" t="n">
        <x:v>0.2</x:v>
      </x:c>
      <x:c r="E29" s="6"/>
      <x:c r="F29" s="6"/>
      <x:c r="G29" s="6"/>
      <x:c r="H29" s="6"/>
      <x:c r="I29" s="6"/>
      <x:c r="J29" s="6"/>
      <x:c r="K29" s="1"/>
      <x:c r="L29" s="1"/>
      <x:c r="M29" s="1"/>
    </x:row>
    <x:row r="30" ht="22" customHeight="1">
      <x:c r="A30" s="1"/>
      <x:c r="B30" s="1"/>
      <x:c r="C30" s="1" t="str">
        <x:v>Sponsorship annual fixed-cost growth</x:v>
      </x:c>
      <x:c r="D30" s="42" t="n">
        <x:v>0.3</x:v>
      </x:c>
      <x:c r="E30" s="6"/>
      <x:c r="F30" s="6"/>
      <x:c r="G30" s="6"/>
      <x:c r="H30" s="6"/>
      <x:c r="I30" s="6"/>
      <x:c r="J30" s="6"/>
      <x:c r="K30" s="1"/>
      <x:c r="L30" s="1"/>
      <x:c r="M30" s="1"/>
    </x:row>
    <x:row r="31" ht="22" customHeight="1">
      <x:c r="A31" s="1"/>
      <x:c r="B31" s="1"/>
      <x:c r="C31" s="1"/>
      <x:c r="D31" s="6"/>
      <x:c r="E31" s="6"/>
      <x:c r="F31" s="6"/>
      <x:c r="G31" s="6"/>
      <x:c r="H31" s="6"/>
      <x:c r="I31" s="6"/>
      <x:c r="J31" s="6"/>
      <x:c r="K31" s="1"/>
      <x:c r="L31" s="1"/>
      <x:c r="M31" s="1"/>
    </x:row>
    <x:row r="32" ht="22" customHeight="1">
      <x:c r="A32" s="1"/>
      <x:c r="B32" s="1"/>
      <x:c r="C32" s="1"/>
      <x:c r="D32" s="6"/>
      <x:c r="E32" s="6"/>
      <x:c r="F32" s="6"/>
      <x:c r="G32" s="6"/>
      <x:c r="H32" s="6"/>
      <x:c r="I32" s="6"/>
      <x:c r="J32" s="6"/>
      <x:c r="K32" s="1"/>
      <x:c r="L32" s="1"/>
      <x:c r="M32" s="1"/>
    </x:row>
    <x:row r="33" ht="22" customHeight="1">
      <x:c r="A33" s="1"/>
      <x:c r="B33" s="1"/>
      <x:c r="C33" s="1"/>
      <x:c r="D33" s="6"/>
      <x:c r="E33" s="6"/>
      <x:c r="F33" s="6"/>
      <x:c r="G33" s="6"/>
      <x:c r="H33" s="6"/>
      <x:c r="I33" s="6"/>
      <x:c r="J33" s="6"/>
      <x:c r="K33" s="1"/>
      <x:c r="L33" s="1"/>
      <x:c r="M33" s="1"/>
    </x:row>
    <x:row r="34" ht="22" customHeight="1">
      <x:c r="A34" s="1"/>
      <x:c r="B34" s="1"/>
      <x:c r="C34" s="4"/>
      <x:c r="D34" s="61" t="n">
        <x:v>2027</x:v>
      </x:c>
      <x:c r="E34" s="61" t="n">
        <x:v>2028</x:v>
      </x:c>
      <x:c r="F34" s="61" t="n">
        <x:v>2029</x:v>
      </x:c>
      <x:c r="G34" s="61" t="n">
        <x:v>2030</x:v>
      </x:c>
      <x:c r="H34" s="61" t="n">
        <x:v>2031</x:v>
      </x:c>
      <x:c r="I34" s="61" t="n">
        <x:v>2032</x:v>
      </x:c>
      <x:c r="J34" s="61" t="n">
        <x:v>2033</x:v>
      </x:c>
      <x:c r="K34" s="1"/>
      <x:c r="L34" s="1"/>
      <x:c r="M34" s="1"/>
    </x:row>
    <x:row r="35" ht="22" customHeight="1">
      <x:c r="A35" s="1"/>
      <x:c r="B35" s="1"/>
      <x:c r="C35" s="1" t="str">
        <x:v>Average provider businesses / partial-year weighted</x:v>
      </x:c>
      <x:c r="D35" s="49" t="n">
        <x:f>'Operating model'!D20</x:f>
        <x:v>3</x:v>
      </x:c>
      <x:c r="E35" s="49" t="n">
        <x:f>'Operating model'!E20</x:f>
        <x:v>24.549999999999997</x:v>
      </x:c>
      <x:c r="F35" s="49" t="n">
        <x:f>'Operating model'!F20</x:f>
        <x:v>120.69999999999999</x:v>
      </x:c>
      <x:c r="G35" s="49" t="n">
        <x:f>'Operating model'!G20</x:f>
        <x:v>419.20000000000005</x:v>
      </x:c>
      <x:c r="H35" s="49" t="n">
        <x:f>'Operating model'!H20</x:f>
        <x:v>1194.125</x:v>
      </x:c>
      <x:c r="I35" s="49" t="n">
        <x:f>'Operating model'!I20</x:f>
        <x:v>3010.7749999999996</x:v>
      </x:c>
      <x:c r="J35" s="49" t="n">
        <x:f>'Operating model'!J20</x:f>
        <x:v>6650.6</x:v>
      </x:c>
      <x:c r="K35" s="1"/>
      <x:c r="L35" s="1"/>
      <x:c r="M35" s="1"/>
    </x:row>
    <x:row r="36" ht="22" customHeight="1">
      <x:c r="A36" s="1"/>
      <x:c r="B36" s="1"/>
      <x:c r="C36" s="1" t="str">
        <x:v>Pro-only share of average providers</x:v>
      </x:c>
      <x:c r="D36" s="42" t="n">
        <x:v>0</x:v>
      </x:c>
      <x:c r="E36" s="42" t="n">
        <x:v>0.1</x:v>
      </x:c>
      <x:c r="F36" s="42" t="n">
        <x:v>0.16</x:v>
      </x:c>
      <x:c r="G36" s="42" t="n">
        <x:v>0.23</x:v>
      </x:c>
      <x:c r="H36" s="42" t="n">
        <x:v>0.3</x:v>
      </x:c>
      <x:c r="I36" s="42" t="n">
        <x:v>0.36</x:v>
      </x:c>
      <x:c r="J36" s="42" t="n">
        <x:v>0.4</x:v>
      </x:c>
      <x:c r="K36" s="1"/>
      <x:c r="L36" s="1"/>
      <x:c r="M36" s="1"/>
    </x:row>
    <x:row r="37" ht="22" customHeight="1">
      <x:c r="A37" s="1"/>
      <x:c r="B37" s="1"/>
      <x:c r="C37" s="1" t="str">
        <x:v>Teams share of average providers</x:v>
      </x:c>
      <x:c r="D37" s="42" t="n">
        <x:v>0</x:v>
      </x:c>
      <x:c r="E37" s="42" t="n">
        <x:v>0.03</x:v>
      </x:c>
      <x:c r="F37" s="42" t="n">
        <x:v>0.06</x:v>
      </x:c>
      <x:c r="G37" s="42" t="n">
        <x:v>0.1</x:v>
      </x:c>
      <x:c r="H37" s="42" t="n">
        <x:v>0.13</x:v>
      </x:c>
      <x:c r="I37" s="42" t="n">
        <x:v>0.16</x:v>
      </x:c>
      <x:c r="J37" s="42" t="n">
        <x:v>0.2</x:v>
      </x:c>
      <x:c r="K37" s="1"/>
      <x:c r="L37" s="1"/>
      <x:c r="M37" s="1"/>
    </x:row>
    <x:row r="38" ht="22" customHeight="1">
      <x:c r="A38" s="1"/>
      <x:c r="B38" s="1"/>
      <x:c r="C38" s="1" t="str">
        <x:v>Paid subscription months per year</x:v>
      </x:c>
      <x:c r="D38" s="43" t="n">
        <x:v>12</x:v>
      </x:c>
      <x:c r="E38" s="43" t="n">
        <x:v>12</x:v>
      </x:c>
      <x:c r="F38" s="43" t="n">
        <x:v>12</x:v>
      </x:c>
      <x:c r="G38" s="43" t="n">
        <x:v>12</x:v>
      </x:c>
      <x:c r="H38" s="43" t="n">
        <x:v>12</x:v>
      </x:c>
      <x:c r="I38" s="43" t="n">
        <x:v>12</x:v>
      </x:c>
      <x:c r="J38" s="43" t="n">
        <x:v>12</x:v>
      </x:c>
      <x:c r="K38" s="1"/>
      <x:c r="L38" s="1"/>
      <x:c r="M38" s="1"/>
    </x:row>
    <x:row r="39" ht="22" customHeight="1">
      <x:c r="A39" s="1"/>
      <x:c r="B39" s="1"/>
      <x:c r="C39" s="1" t="str">
        <x:v>Sponsors / average provider businesses</x:v>
      </x:c>
      <x:c r="D39" s="17" t="n">
        <x:v>0</x:v>
      </x:c>
      <x:c r="E39" s="17" t="n">
        <x:v>0</x:v>
      </x:c>
      <x:c r="F39" s="17" t="n">
        <x:v>0</x:v>
      </x:c>
      <x:c r="G39" s="17" t="n">
        <x:v>0.05</x:v>
      </x:c>
      <x:c r="H39" s="17" t="n">
        <x:v>0.075</x:v>
      </x:c>
      <x:c r="I39" s="17" t="n">
        <x:v>0.1</x:v>
      </x:c>
      <x:c r="J39" s="17" t="n">
        <x:v>0.12</x:v>
      </x:c>
      <x:c r="K39" s="1"/>
      <x:c r="L39" s="1"/>
      <x:c r="M39" s="1"/>
    </x:row>
    <x:row r="40" ht="22" customHeight="1">
      <x:c r="A40" s="1"/>
      <x:c r="B40" s="1"/>
      <x:c r="C40" s="1" t="str">
        <x:v>New pairs with eligible first bill &gt;= minimum</x:v>
      </x:c>
      <x:c r="D40" s="42" t="n">
        <x:v>0.15</x:v>
      </x:c>
      <x:c r="E40" s="42" t="n">
        <x:v>0.17</x:v>
      </x:c>
      <x:c r="F40" s="42" t="n">
        <x:v>0.19</x:v>
      </x:c>
      <x:c r="G40" s="42" t="n">
        <x:v>0.21</x:v>
      </x:c>
      <x:c r="H40" s="42" t="n">
        <x:v>0.23</x:v>
      </x:c>
      <x:c r="I40" s="42" t="n">
        <x:v>0.25</x:v>
      </x:c>
      <x:c r="J40" s="42" t="n">
        <x:v>0.27</x:v>
      </x:c>
      <x:c r="K40" s="1"/>
      <x:c r="L40" s="1"/>
      <x:c r="M40" s="1"/>
    </x:row>
    <x:row r="41" ht="22" customHeight="1">
      <x:c r="A41" s="1"/>
      <x:c r="B41" s="1"/>
      <x:c r="C41" s="1" t="str">
        <x:v>Eligible new pairs choosing a sponsored option</x:v>
      </x:c>
      <x:c r="D41" s="42" t="n">
        <x:v>0.1</x:v>
      </x:c>
      <x:c r="E41" s="42" t="n">
        <x:v>0.15</x:v>
      </x:c>
      <x:c r="F41" s="42" t="n">
        <x:v>0.2</x:v>
      </x:c>
      <x:c r="G41" s="42" t="n">
        <x:v>0.25</x:v>
      </x:c>
      <x:c r="H41" s="42" t="n">
        <x:v>0.3</x:v>
      </x:c>
      <x:c r="I41" s="42" t="n">
        <x:v>0.3</x:v>
      </x:c>
      <x:c r="J41" s="42" t="n">
        <x:v>0.3</x:v>
      </x:c>
      <x:c r="K41" s="1"/>
      <x:c r="L41" s="1"/>
      <x:c r="M41" s="1"/>
    </x:row>
    <x:row r="42" ht="22" customHeight="1">
      <x:c r="A42" s="1"/>
      <x:c r="B42" s="1"/>
      <x:c r="C42" s="1"/>
      <x:c r="D42" s="6"/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22" customHeight="1">
      <x:c r="A43" s="1"/>
      <x:c r="B43" s="1"/>
      <x:c r="C43" s="1" t="str">
        <x:v>Average Pro subscribers</x:v>
      </x:c>
      <x:c r="D43" s="11" t="n">
        <x:f>IF(AND($D$3&lt;&gt;"Off",D$34&gt;=$D$23),D35*D36,0)</x:f>
        <x:v>0</x:v>
      </x:c>
      <x:c r="E43" s="11" t="n">
        <x:f>IF(AND($D$3&lt;&gt;"Off",E$34&gt;=$D$23),E35*E36,0)</x:f>
        <x:v>2.455</x:v>
      </x:c>
      <x:c r="F43" s="11" t="n">
        <x:f>IF(AND($D$3&lt;&gt;"Off",F$34&gt;=$D$23),F35*F36,0)</x:f>
        <x:v>19.311999999999998</x:v>
      </x:c>
      <x:c r="G43" s="11" t="n">
        <x:f>IF(AND($D$3&lt;&gt;"Off",G$34&gt;=$D$23),G35*G36,0)</x:f>
        <x:v>96.41600000000001</x:v>
      </x:c>
      <x:c r="H43" s="11" t="n">
        <x:f>IF(AND($D$3&lt;&gt;"Off",H$34&gt;=$D$23),H35*H36,0)</x:f>
        <x:v>358.2375</x:v>
      </x:c>
      <x:c r="I43" s="11" t="n">
        <x:f>IF(AND($D$3&lt;&gt;"Off",I$34&gt;=$D$23),I35*I36,0)</x:f>
        <x:v>1083.879</x:v>
      </x:c>
      <x:c r="J43" s="11" t="n">
        <x:f>IF(AND($D$3&lt;&gt;"Off",J$34&gt;=$D$23),J35*J36,0)</x:f>
        <x:v>2660.2400000000002</x:v>
      </x:c>
      <x:c r="K43" s="1"/>
      <x:c r="L43" s="1"/>
      <x:c r="M43" s="1"/>
    </x:row>
    <x:row r="44" ht="22" customHeight="1">
      <x:c r="A44" s="1"/>
      <x:c r="B44" s="1"/>
      <x:c r="C44" s="1" t="str">
        <x:v>Average Teams subscribers</x:v>
      </x:c>
      <x:c r="D44" s="11" t="n">
        <x:f>IF(AND($D$3&lt;&gt;"Off",D$34&gt;=$D$23),D35*D37,0)</x:f>
        <x:v>0</x:v>
      </x:c>
      <x:c r="E44" s="11" t="n">
        <x:f>IF(AND($D$3&lt;&gt;"Off",E$34&gt;=$D$23),E35*E37,0)</x:f>
        <x:v>0.7364999999999999</x:v>
      </x:c>
      <x:c r="F44" s="11" t="n">
        <x:f>IF(AND($D$3&lt;&gt;"Off",F$34&gt;=$D$23),F35*F37,0)</x:f>
        <x:v>7.241999999999999</x:v>
      </x:c>
      <x:c r="G44" s="11" t="n">
        <x:f>IF(AND($D$3&lt;&gt;"Off",G$34&gt;=$D$23),G35*G37,0)</x:f>
        <x:v>41.92000000000001</x:v>
      </x:c>
      <x:c r="H44" s="11" t="n">
        <x:f>IF(AND($D$3&lt;&gt;"Off",H$34&gt;=$D$23),H35*H37,0)</x:f>
        <x:v>155.23625</x:v>
      </x:c>
      <x:c r="I44" s="11" t="n">
        <x:f>IF(AND($D$3&lt;&gt;"Off",I$34&gt;=$D$23),I35*I37,0)</x:f>
        <x:v>481.72399999999993</x:v>
      </x:c>
      <x:c r="J44" s="11" t="n">
        <x:f>IF(AND($D$3&lt;&gt;"Off",J$34&gt;=$D$23),J35*J37,0)</x:f>
        <x:v>1330.1200000000001</x:v>
      </x:c>
      <x:c r="K44" s="1"/>
      <x:c r="L44" s="1"/>
      <x:c r="M44" s="1"/>
    </x:row>
    <x:row r="45" ht="22" customHeight="1">
      <x:c r="A45" s="1"/>
      <x:c r="B45" s="1"/>
      <x:c r="C45" s="1" t="str">
        <x:v>Paid subscriber business-months</x:v>
      </x:c>
      <x:c r="D45" s="11" t="n">
        <x:f>SUM(D43:D44)*D38</x:f>
        <x:v>0</x:v>
      </x:c>
      <x:c r="E45" s="11" t="n">
        <x:f>SUM(E43:E44)*E38</x:f>
        <x:v>38.298</x:v>
      </x:c>
      <x:c r="F45" s="11" t="n">
        <x:f>SUM(F43:F44)*F38</x:f>
        <x:v>318.6479999999999</x:v>
      </x:c>
      <x:c r="G45" s="11" t="n">
        <x:f>SUM(G43:G44)*G38</x:f>
        <x:v>1660.0320000000002</x:v>
      </x:c>
      <x:c r="H45" s="11" t="n">
        <x:f>SUM(H43:H44)*H38</x:f>
        <x:v>6161.6849999999995</x:v>
      </x:c>
      <x:c r="I45" s="11" t="n">
        <x:f>SUM(I43:I44)*I38</x:f>
        <x:v>18787.235999999997</x:v>
      </x:c>
      <x:c r="J45" s="11" t="n">
        <x:f>SUM(J43:J44)*J38</x:f>
        <x:v>47884.32000000001</x:v>
      </x:c>
      <x:c r="K45" s="1"/>
      <x:c r="L45" s="1"/>
      <x:c r="M45" s="1"/>
    </x:row>
    <x:row r="46" ht="22" customHeight="1">
      <x:c r="A46" s="1"/>
      <x:c r="B46" s="1"/>
      <x:c r="C46" s="1" t="str">
        <x:v>Gross subscription billings</x:v>
      </x:c>
      <x:c r="D46" s="22" t="n">
        <x:f>(D43*$D$7+D44*$D$8)*D38</x:f>
        <x:v>0</x:v>
      </x:c>
      <x:c r="E46" s="22" t="n">
        <x:f>(E43*$D$7+E44*$D$8)*E38</x:f>
        <x:v>2318.5020000000004</x:v>
      </x:c>
      <x:c r="F46" s="22" t="n">
        <x:f>(F43*$D$7+F44*$D$8)*F38</x:f>
        <x:v>19958.951999999997</x:v>
      </x:c>
      <x:c r="G46" s="22" t="n">
        <x:f>(G43*$D$7+G44*$D$8)*G38</x:f>
        <x:v>106493.56800000003</x:v>
      </x:c>
      <x:c r="H46" s="22" t="n">
        <x:f>(H43*$D$7+H44*$D$8)*H38</x:f>
        <x:v>395064.31500000006</x:v>
      </x:c>
      <x:c r="I46" s="22" t="n">
        <x:f>(I43*$D$7+I44*$D$8)*I38</x:f>
        <x:v>1209608.964</x:v>
      </x:c>
      <x:c r="J46" s="22" t="n">
        <x:f>(J43*$D$7+J44*$D$8)*J38</x:f>
        <x:v>3144403.68</x:v>
      </x:c>
      <x:c r="K46" s="1"/>
      <x:c r="L46" s="1"/>
      <x:c r="M46" s="1"/>
    </x:row>
    <x:row r="47" ht="22" customHeight="1">
      <x:c r="A47" s="1"/>
      <x:c r="B47" s="1"/>
      <x:c r="C47" s="1" t="str">
        <x:v>Subscription credits / noncollection</x:v>
      </x:c>
      <x:c r="D47" s="22" t="n">
        <x:f>D46*$D$10</x:f>
        <x:v>0</x:v>
      </x:c>
      <x:c r="E47" s="22" t="n">
        <x:f>E46*$D$10</x:f>
        <x:v>46.37004000000001</x:v>
      </x:c>
      <x:c r="F47" s="22" t="n">
        <x:f>F46*$D$10</x:f>
        <x:v>399.17904</x:v>
      </x:c>
      <x:c r="G47" s="22" t="n">
        <x:f>G46*$D$10</x:f>
        <x:v>2129.8713600000005</x:v>
      </x:c>
      <x:c r="H47" s="22" t="n">
        <x:f>H46*$D$10</x:f>
        <x:v>7901.286300000002</x:v>
      </x:c>
      <x:c r="I47" s="22" t="n">
        <x:f>I46*$D$10</x:f>
        <x:v>24192.17928</x:v>
      </x:c>
      <x:c r="J47" s="22" t="n">
        <x:f>J46*$D$10</x:f>
        <x:v>62888.0736</x:v>
      </x:c>
      <x:c r="K47" s="1"/>
      <x:c r="L47" s="1"/>
      <x:c r="M47" s="1"/>
    </x:row>
    <x:row r="48" ht="22" customHeight="1">
      <x:c r="A48" s="1"/>
      <x:c r="B48" s="1"/>
      <x:c r="C48" s="4" t="str">
        <x:v>Net subscription revenue</x:v>
      </x:c>
      <x:c r="D48" s="24" t="n">
        <x:f>D46-D47</x:f>
        <x:v>0</x:v>
      </x:c>
      <x:c r="E48" s="24" t="n">
        <x:f>E46-E47</x:f>
        <x:v>2272.1319600000006</x:v>
      </x:c>
      <x:c r="F48" s="24" t="n">
        <x:f>F46-F47</x:f>
        <x:v>19559.77296</x:v>
      </x:c>
      <x:c r="G48" s="24" t="n">
        <x:f>G46-G47</x:f>
        <x:v>104363.69664000002</x:v>
      </x:c>
      <x:c r="H48" s="24" t="n">
        <x:f>H46-H47</x:f>
        <x:v>387163.0287000001</x:v>
      </x:c>
      <x:c r="I48" s="24" t="n">
        <x:f>I46-I47</x:f>
        <x:v>1185416.7847199999</x:v>
      </x:c>
      <x:c r="J48" s="24" t="n">
        <x:f>J46-J47</x:f>
        <x:v>3081515.6064</x:v>
      </x:c>
      <x:c r="K48" s="1"/>
      <x:c r="L48" s="1"/>
      <x:c r="M48" s="1"/>
    </x:row>
    <x:row r="49" ht="22" customHeight="1">
      <x:c r="A49" s="1"/>
      <x:c r="B49" s="1"/>
      <x:c r="C49" s="1"/>
      <x:c r="D49" s="6"/>
      <x:c r="E49" s="6"/>
      <x:c r="F49" s="6"/>
      <x:c r="G49" s="6"/>
      <x:c r="H49" s="6"/>
      <x:c r="I49" s="6"/>
      <x:c r="J49" s="6"/>
      <x:c r="K49" s="1"/>
      <x:c r="L49" s="1"/>
      <x:c r="M49" s="1"/>
    </x:row>
    <x:row r="50" ht="22" customHeight="1">
      <x:c r="A50" s="1"/>
      <x:c r="B50" s="1"/>
      <x:c r="C50" s="1" t="str">
        <x:v>Average participating sponsors</x:v>
      </x:c>
      <x:c r="D50" s="11" t="n">
        <x:f>IF(AND($D$3="Subscriptions + sponsorship",D$34&gt;=$D$24),D35*D39,0)</x:f>
        <x:v>0</x:v>
      </x:c>
      <x:c r="E50" s="11" t="n">
        <x:f>IF(AND($D$3="Subscriptions + sponsorship",E$34&gt;=$D$24),E35*E39,0)</x:f>
        <x:v>0</x:v>
      </x:c>
      <x:c r="F50" s="11" t="n">
        <x:f>IF(AND($D$3="Subscriptions + sponsorship",F$34&gt;=$D$24),F35*F39,0)</x:f>
        <x:v>0</x:v>
      </x:c>
      <x:c r="G50" s="11" t="n">
        <x:f>IF(AND($D$3="Subscriptions + sponsorship",G$34&gt;=$D$24),G35*G39,0)</x:f>
        <x:v>0</x:v>
      </x:c>
      <x:c r="H50" s="11" t="n">
        <x:f>IF(AND($D$3="Subscriptions + sponsorship",H$34&gt;=$D$24),H35*H39,0)</x:f>
        <x:v>0</x:v>
      </x:c>
      <x:c r="I50" s="11" t="n">
        <x:f>IF(AND($D$3="Subscriptions + sponsorship",I$34&gt;=$D$24),I35*I39,0)</x:f>
        <x:v>0</x:v>
      </x:c>
      <x:c r="J50" s="11" t="n">
        <x:f>IF(AND($D$3="Subscriptions + sponsorship",J$34&gt;=$D$24),J35*J39,0)</x:f>
        <x:v>0</x:v>
      </x:c>
      <x:c r="K50" s="1"/>
      <x:c r="L50" s="1"/>
      <x:c r="M50" s="1"/>
    </x:row>
    <x:row r="51" ht="22" customHeight="1">
      <x:c r="A51" s="1"/>
      <x:c r="B51" s="1"/>
      <x:c r="C51" s="1" t="str">
        <x:v>Eligible new relationships / high first bill</x:v>
      </x:c>
      <x:c r="D51" s="49" t="n">
        <x:f>IF(AND($D$3="Subscriptions + sponsorship",D$34&gt;=$D$24),'Operating model'!D7*D40,0)</x:f>
        <x:v>0</x:v>
      </x:c>
      <x:c r="E51" s="49" t="n">
        <x:f>IF(AND($D$3="Subscriptions + sponsorship",E$34&gt;=$D$24),'Operating model'!E7*E40,0)</x:f>
        <x:v>0</x:v>
      </x:c>
      <x:c r="F51" s="49" t="n">
        <x:f>IF(AND($D$3="Subscriptions + sponsorship",F$34&gt;=$D$24),'Operating model'!F7*F40,0)</x:f>
        <x:v>0</x:v>
      </x:c>
      <x:c r="G51" s="49" t="n">
        <x:f>IF(AND($D$3="Subscriptions + sponsorship",G$34&gt;=$D$24),'Operating model'!G7*G40,0)</x:f>
        <x:v>0</x:v>
      </x:c>
      <x:c r="H51" s="49" t="n">
        <x:f>IF(AND($D$3="Subscriptions + sponsorship",H$34&gt;=$D$24),'Operating model'!H7*H40,0)</x:f>
        <x:v>0</x:v>
      </x:c>
      <x:c r="I51" s="49" t="n">
        <x:f>IF(AND($D$3="Subscriptions + sponsorship",I$34&gt;=$D$24),'Operating model'!I7*I40,0)</x:f>
        <x:v>0</x:v>
      </x:c>
      <x:c r="J51" s="49" t="n">
        <x:f>IF(AND($D$3="Subscriptions + sponsorship",J$34&gt;=$D$24),'Operating model'!J7*J40,0)</x:f>
        <x:v>0</x:v>
      </x:c>
      <x:c r="K51" s="1"/>
      <x:c r="L51" s="1"/>
      <x:c r="M51" s="1"/>
    </x:row>
    <x:row r="52" ht="22" customHeight="1">
      <x:c r="A52" s="1"/>
      <x:c r="B52" s="1"/>
      <x:c r="C52" s="1" t="str">
        <x:v>Qualified sponsored inventory / new pairs</x:v>
      </x:c>
      <x:c r="D52" s="11" t="n">
        <x:f>D51*D41</x:f>
        <x:v>0</x:v>
      </x:c>
      <x:c r="E52" s="11" t="n">
        <x:f>E51*E41</x:f>
        <x:v>0</x:v>
      </x:c>
      <x:c r="F52" s="11" t="n">
        <x:f>F51*F41</x:f>
        <x:v>0</x:v>
      </x:c>
      <x:c r="G52" s="11" t="n">
        <x:f>G51*G41</x:f>
        <x:v>0</x:v>
      </x:c>
      <x:c r="H52" s="11" t="n">
        <x:f>H51*H41</x:f>
        <x:v>0</x:v>
      </x:c>
      <x:c r="I52" s="11" t="n">
        <x:f>I51*I41</x:f>
        <x:v>0</x:v>
      </x:c>
      <x:c r="J52" s="11" t="n">
        <x:f>J51*J41</x:f>
        <x:v>0</x:v>
      </x:c>
      <x:c r="K52" s="1"/>
      <x:c r="L52" s="1"/>
      <x:c r="M52" s="1"/>
    </x:row>
    <x:row r="53" ht="22" customHeight="1">
      <x:c r="A53" s="1"/>
      <x:c r="B53" s="1"/>
      <x:c r="C53" s="1" t="str">
        <x:v>Sponsored jobs affordable within budget</x:v>
      </x:c>
      <x:c r="D53" s="11" t="n">
        <x:f>IF($D$9&gt;0,D50*$D$18*$D$17/$D$9,0)</x:f>
        <x:v>0</x:v>
      </x:c>
      <x:c r="E53" s="11" t="n">
        <x:f>IF($D$9&gt;0,E50*$D$18*$D$17/$D$9,0)</x:f>
        <x:v>0</x:v>
      </x:c>
      <x:c r="F53" s="11" t="n">
        <x:f>IF($D$9&gt;0,F50*$D$18*$D$17/$D$9,0)</x:f>
        <x:v>0</x:v>
      </x:c>
      <x:c r="G53" s="11" t="n">
        <x:f>IF($D$9&gt;0,G50*$D$18*$D$17/$D$9,0)</x:f>
        <x:v>0</x:v>
      </x:c>
      <x:c r="H53" s="11" t="n">
        <x:f>IF($D$9&gt;0,H50*$D$18*$D$17/$D$9,0)</x:f>
        <x:v>0</x:v>
      </x:c>
      <x:c r="I53" s="11" t="n">
        <x:f>IF($D$9&gt;0,I50*$D$18*$D$17/$D$9,0)</x:f>
        <x:v>0</x:v>
      </x:c>
      <x:c r="J53" s="11" t="n">
        <x:f>IF($D$9&gt;0,J50*$D$18*$D$17/$D$9,0)</x:f>
        <x:v>0</x:v>
      </x:c>
      <x:c r="K53" s="1"/>
      <x:c r="L53" s="1"/>
      <x:c r="M53" s="1"/>
    </x:row>
    <x:row r="54" ht="22" customHeight="1">
      <x:c r="A54" s="1"/>
      <x:c r="B54" s="1"/>
      <x:c r="C54" s="1" t="str">
        <x:v>Completed sponsored new relationships sold</x:v>
      </x:c>
      <x:c r="D54" s="11" t="n">
        <x:f>MIN(D52,D53)</x:f>
        <x:v>0</x:v>
      </x:c>
      <x:c r="E54" s="11" t="n">
        <x:f>MIN(E52,E53)</x:f>
        <x:v>0</x:v>
      </x:c>
      <x:c r="F54" s="11" t="n">
        <x:f>MIN(F52,F53)</x:f>
        <x:v>0</x:v>
      </x:c>
      <x:c r="G54" s="11" t="n">
        <x:f>MIN(G52,G53)</x:f>
        <x:v>0</x:v>
      </x:c>
      <x:c r="H54" s="11" t="n">
        <x:f>MIN(H52,H53)</x:f>
        <x:v>0</x:v>
      </x:c>
      <x:c r="I54" s="11" t="n">
        <x:f>MIN(I52,I53)</x:f>
        <x:v>0</x:v>
      </x:c>
      <x:c r="J54" s="11" t="n">
        <x:f>MIN(J52,J53)</x:f>
        <x:v>0</x:v>
      </x:c>
      <x:c r="K54" s="1"/>
      <x:c r="L54" s="1"/>
      <x:c r="M54" s="1"/>
    </x:row>
    <x:row r="55" ht="22" customHeight="1">
      <x:c r="A55" s="1"/>
      <x:c r="B55" s="1"/>
      <x:c r="C55" s="1" t="str">
        <x:v>Gross sponsored billings</x:v>
      </x:c>
      <x:c r="D55" s="22" t="n">
        <x:f>D54*$D$9</x:f>
        <x:v>0</x:v>
      </x:c>
      <x:c r="E55" s="22" t="n">
        <x:f>E54*$D$9</x:f>
        <x:v>0</x:v>
      </x:c>
      <x:c r="F55" s="22" t="n">
        <x:f>F54*$D$9</x:f>
        <x:v>0</x:v>
      </x:c>
      <x:c r="G55" s="22" t="n">
        <x:f>G54*$D$9</x:f>
        <x:v>0</x:v>
      </x:c>
      <x:c r="H55" s="22" t="n">
        <x:f>H54*$D$9</x:f>
        <x:v>0</x:v>
      </x:c>
      <x:c r="I55" s="22" t="n">
        <x:f>I54*$D$9</x:f>
        <x:v>0</x:v>
      </x:c>
      <x:c r="J55" s="22" t="n">
        <x:f>J54*$D$9</x:f>
        <x:v>0</x:v>
      </x:c>
      <x:c r="K55" s="1"/>
      <x:c r="L55" s="1"/>
      <x:c r="M55" s="1"/>
    </x:row>
    <x:row r="56" ht="22" customHeight="1">
      <x:c r="A56" s="1"/>
      <x:c r="B56" s="1"/>
      <x:c r="C56" s="1" t="str">
        <x:v>Sponsored credits / noncollection</x:v>
      </x:c>
      <x:c r="D56" s="22" t="n">
        <x:f>D55*$D$10</x:f>
        <x:v>0</x:v>
      </x:c>
      <x:c r="E56" s="22" t="n">
        <x:f>E55*$D$10</x:f>
        <x:v>0</x:v>
      </x:c>
      <x:c r="F56" s="22" t="n">
        <x:f>F55*$D$10</x:f>
        <x:v>0</x:v>
      </x:c>
      <x:c r="G56" s="22" t="n">
        <x:f>G55*$D$10</x:f>
        <x:v>0</x:v>
      </x:c>
      <x:c r="H56" s="22" t="n">
        <x:f>H55*$D$10</x:f>
        <x:v>0</x:v>
      </x:c>
      <x:c r="I56" s="22" t="n">
        <x:f>I55*$D$10</x:f>
        <x:v>0</x:v>
      </x:c>
      <x:c r="J56" s="22" t="n">
        <x:f>J55*$D$10</x:f>
        <x:v>0</x:v>
      </x:c>
      <x:c r="K56" s="1"/>
      <x:c r="L56" s="1"/>
      <x:c r="M56" s="1"/>
    </x:row>
    <x:row r="57" ht="22" customHeight="1">
      <x:c r="A57" s="1"/>
      <x:c r="B57" s="1"/>
      <x:c r="C57" s="4" t="str">
        <x:v>Net sponsored revenue</x:v>
      </x:c>
      <x:c r="D57" s="24" t="n">
        <x:f>D55-D56</x:f>
        <x:v>0</x:v>
      </x:c>
      <x:c r="E57" s="24" t="n">
        <x:f>E55-E56</x:f>
        <x:v>0</x:v>
      </x:c>
      <x:c r="F57" s="24" t="n">
        <x:f>F55-F56</x:f>
        <x:v>0</x:v>
      </x:c>
      <x:c r="G57" s="24" t="n">
        <x:f>G55-G56</x:f>
        <x:v>0</x:v>
      </x:c>
      <x:c r="H57" s="24" t="n">
        <x:f>H55-H56</x:f>
        <x:v>0</x:v>
      </x:c>
      <x:c r="I57" s="24" t="n">
        <x:f>I55-I56</x:f>
        <x:v>0</x:v>
      </x:c>
      <x:c r="J57" s="24" t="n">
        <x:f>J55-J56</x:f>
        <x:v>0</x:v>
      </x:c>
      <x:c r="K57" s="1"/>
      <x:c r="L57" s="1"/>
      <x:c r="M57" s="1"/>
    </x:row>
    <x:row r="58" ht="22" customHeight="1">
      <x:c r="A58" s="1"/>
      <x:c r="B58" s="1"/>
      <x:c r="C58" s="1"/>
      <x:c r="D58" s="6"/>
      <x:c r="E58" s="6"/>
      <x:c r="F58" s="6"/>
      <x:c r="G58" s="6"/>
      <x:c r="H58" s="6"/>
      <x:c r="I58" s="6"/>
      <x:c r="J58" s="6"/>
      <x:c r="K58" s="1"/>
      <x:c r="L58" s="1"/>
      <x:c r="M58" s="1"/>
    </x:row>
    <x:row r="59" ht="22" customHeight="1">
      <x:c r="A59" s="1"/>
      <x:c r="B59" s="1"/>
      <x:c r="C59" s="4" t="str">
        <x:v>Total incremental net revenue</x:v>
      </x:c>
      <x:c r="D59" s="24" t="n">
        <x:f>D48+D57</x:f>
        <x:v>0</x:v>
      </x:c>
      <x:c r="E59" s="24" t="n">
        <x:f>E48+E57</x:f>
        <x:v>2272.1319600000006</x:v>
      </x:c>
      <x:c r="F59" s="24" t="n">
        <x:f>F48+F57</x:f>
        <x:v>19559.77296</x:v>
      </x:c>
      <x:c r="G59" s="24" t="n">
        <x:f>G48+G57</x:f>
        <x:v>104363.69664000002</x:v>
      </x:c>
      <x:c r="H59" s="24" t="n">
        <x:f>H48+H57</x:f>
        <x:v>387163.0287000001</x:v>
      </x:c>
      <x:c r="I59" s="24" t="n">
        <x:f>I48+I57</x:f>
        <x:v>1185416.7847199999</x:v>
      </x:c>
      <x:c r="J59" s="24" t="n">
        <x:f>J48+J57</x:f>
        <x:v>3081515.6064</x:v>
      </x:c>
      <x:c r="K59" s="1"/>
      <x:c r="L59" s="1"/>
      <x:c r="M59" s="1"/>
    </x:row>
    <x:row r="60" ht="22" customHeight="1">
      <x:c r="A60" s="1"/>
      <x:c r="B60" s="1"/>
      <x:c r="C60" s="1" t="str">
        <x:v>Subscription variable cloud / support</x:v>
      </x:c>
      <x:c r="D60" s="22" t="n">
        <x:f>(D43*$D$11+D44*$D$12)*D38</x:f>
        <x:v>0</x:v>
      </x:c>
      <x:c r="E60" s="22" t="n">
        <x:f>(E43*$D$11+E44*$D$12)*E38</x:f>
        <x:v>300.492</x:v>
      </x:c>
      <x:c r="F60" s="22" t="n">
        <x:f>(F43*$D$11+F44*$D$12)*F38</x:f>
        <x:v>2607.12</x:v>
      </x:c>
      <x:c r="G60" s="22" t="n">
        <x:f>(G43*$D$11+G44*$D$12)*G38</x:f>
        <x:v>13984.512000000002</x:v>
      </x:c>
      <x:c r="H60" s="22" t="n">
        <x:f>(H43*$D$11+H44*$D$12)*H38</x:f>
        <x:v>51872.79</x:v>
      </x:c>
      <x:c r="I60" s="22" t="n">
        <x:f>(I43*$D$11+I44*$D$12)*I38</x:f>
        <x:v>158968.91999999998</x:v>
      </x:c>
      <x:c r="J60" s="22" t="n">
        <x:f>(J43*$D$11+J44*$D$12)*J38</x:f>
        <x:v>414997.44000000006</x:v>
      </x:c>
      <x:c r="K60" s="1"/>
      <x:c r="L60" s="1"/>
      <x:c r="M60" s="1"/>
    </x:row>
    <x:row r="61" ht="22" customHeight="1">
      <x:c r="A61" s="1"/>
      <x:c r="B61" s="1"/>
      <x:c r="C61" s="1" t="str">
        <x:v>Advertising variable delivery / reporting</x:v>
      </x:c>
      <x:c r="D61" s="22" t="n">
        <x:f>D55*$D$20</x:f>
        <x:v>0</x:v>
      </x:c>
      <x:c r="E61" s="22" t="n">
        <x:f>E55*$D$20</x:f>
        <x:v>0</x:v>
      </x:c>
      <x:c r="F61" s="22" t="n">
        <x:f>F55*$D$20</x:f>
        <x:v>0</x:v>
      </x:c>
      <x:c r="G61" s="22" t="n">
        <x:f>G55*$D$20</x:f>
        <x:v>0</x:v>
      </x:c>
      <x:c r="H61" s="22" t="n">
        <x:f>H55*$D$20</x:f>
        <x:v>0</x:v>
      </x:c>
      <x:c r="I61" s="22" t="n">
        <x:f>I55*$D$20</x:f>
        <x:v>0</x:v>
      </x:c>
      <x:c r="J61" s="22" t="n">
        <x:f>J55*$D$20</x:f>
        <x:v>0</x:v>
      </x:c>
      <x:c r="K61" s="1"/>
      <x:c r="L61" s="1"/>
      <x:c r="M61" s="1"/>
    </x:row>
    <x:row r="62" ht="22" customHeight="1">
      <x:c r="A62" s="1"/>
      <x:c r="B62" s="1"/>
      <x:c r="C62" s="1" t="str">
        <x:v>Provider invoice processing</x:v>
      </x:c>
      <x:c r="D62" s="22" t="n">
        <x:f>(D46+D55)*$D$14+D77*$D$15</x:f>
        <x:v>0</x:v>
      </x:c>
      <x:c r="E62" s="22" t="n">
        <x:f>(E46+E55)*$D$14+E77*$D$15</x:f>
        <x:v>78.72595800000002</x:v>
      </x:c>
      <x:c r="F62" s="22" t="n">
        <x:f>(F46+F55)*$D$14+F77*$D$15</x:f>
        <x:v>674.4040079999999</x:v>
      </x:c>
      <x:c r="G62" s="22" t="n">
        <x:f>(G46+G55)*$D$14+G77*$D$15</x:f>
        <x:v>3586.323072000001</x:v>
      </x:c>
      <x:c r="H62" s="22" t="n">
        <x:f>(H46+H55)*$D$14+H77*$D$15</x:f>
        <x:v>13305.370635000001</x:v>
      </x:c>
      <x:c r="I62" s="22" t="n">
        <x:f>(I46+I55)*$D$14+I77*$D$15</x:f>
        <x:v>40714.830755999996</x:v>
      </x:c>
      <x:c r="J62" s="22" t="n">
        <x:f>(J46+J55)*$D$14+J77*$D$15</x:f>
        <x:v>105553.00272000002</x:v>
      </x:c>
      <x:c r="K62" s="1"/>
      <x:c r="L62" s="1"/>
      <x:c r="M62" s="1"/>
    </x:row>
    <x:row r="63" ht="22" customHeight="1">
      <x:c r="A63" s="1"/>
      <x:c r="B63" s="1"/>
      <x:c r="C63" s="1" t="str">
        <x:v>Billing software expense</x:v>
      </x:c>
      <x:c r="D63" s="22" t="n">
        <x:f>(D46+D55)*$D$13</x:f>
        <x:v>0</x:v>
      </x:c>
      <x:c r="E63" s="22" t="n">
        <x:f>(E46+E55)*$D$13</x:f>
        <x:v>16.229514</x:v>
      </x:c>
      <x:c r="F63" s="22" t="n">
        <x:f>(F46+F55)*$D$13</x:f>
        <x:v>139.712664</x:v>
      </x:c>
      <x:c r="G63" s="22" t="n">
        <x:f>(G46+G55)*$D$13</x:f>
        <x:v>745.4549760000002</x:v>
      </x:c>
      <x:c r="H63" s="22" t="n">
        <x:f>(H46+H55)*$D$13</x:f>
        <x:v>2765.4502050000006</x:v>
      </x:c>
      <x:c r="I63" s="22" t="n">
        <x:f>(I46+I55)*$D$13</x:f>
        <x:v>8467.262748</x:v>
      </x:c>
      <x:c r="J63" s="22" t="n">
        <x:f>(J46+J55)*$D$13</x:f>
        <x:v>22010.825760000003</x:v>
      </x:c>
      <x:c r="K63" s="1"/>
      <x:c r="L63" s="1"/>
      <x:c r="M63" s="1"/>
    </x:row>
    <x:row r="64" ht="22" customHeight="1">
      <x:c r="A64" s="1"/>
      <x:c r="B64" s="1"/>
      <x:c r="C64" s="4" t="str">
        <x:v>Total incremental cost of revenue</x:v>
      </x:c>
      <x:c r="D64" s="24" t="n">
        <x:f>SUM(D60:D63)</x:f>
        <x:v>0</x:v>
      </x:c>
      <x:c r="E64" s="24" t="n">
        <x:f>SUM(E60:E63)</x:f>
        <x:v>395.44747200000006</x:v>
      </x:c>
      <x:c r="F64" s="24" t="n">
        <x:f>SUM(F60:F63)</x:f>
        <x:v>3421.236672</x:v>
      </x:c>
      <x:c r="G64" s="24" t="n">
        <x:f>SUM(G60:G63)</x:f>
        <x:v>18316.290048000003</x:v>
      </x:c>
      <x:c r="H64" s="24" t="n">
        <x:f>SUM(H60:H63)</x:f>
        <x:v>67943.61084</x:v>
      </x:c>
      <x:c r="I64" s="24" t="n">
        <x:f>SUM(I60:I63)</x:f>
        <x:v>208151.013504</x:v>
      </x:c>
      <x:c r="J64" s="24" t="n">
        <x:f>SUM(J60:J63)</x:f>
        <x:v>542561.2684800001</x:v>
      </x:c>
      <x:c r="K64" s="1"/>
      <x:c r="L64" s="1"/>
      <x:c r="M64" s="1"/>
    </x:row>
    <x:row r="65" ht="22" customHeight="1">
      <x:c r="A65" s="1"/>
      <x:c r="B65" s="1"/>
      <x:c r="C65" s="1"/>
      <x:c r="D65" s="6"/>
      <x:c r="E65" s="6"/>
      <x:c r="F65" s="6"/>
      <x:c r="G65" s="6"/>
      <x:c r="H65" s="6"/>
      <x:c r="I65" s="6"/>
      <x:c r="J65" s="6"/>
      <x:c r="K65" s="1"/>
      <x:c r="L65" s="1"/>
      <x:c r="M65" s="1"/>
    </x:row>
    <x:row r="66" ht="22" customHeight="1">
      <x:c r="A66" s="1"/>
      <x:c r="B66" s="1"/>
      <x:c r="C66" s="1" t="str">
        <x:v>Subscription build / migration expense</x:v>
      </x:c>
      <x:c r="D66" s="22" t="n">
        <x:f>IF(AND($D$3&lt;&gt;"Off",OR(D$34=$D$23-1,D$34=$D$23)),$D$25/2,0)</x:f>
        <x:v>60000</x:v>
      </x:c>
      <x:c r="E66" s="22" t="n">
        <x:f>IF(AND($D$3&lt;&gt;"Off",OR(E$34=$D$23-1,E$34=$D$23)),$D$25/2,0)</x:f>
        <x:v>60000</x:v>
      </x:c>
      <x:c r="F66" s="22" t="n">
        <x:f>IF(AND($D$3&lt;&gt;"Off",OR(F$34=$D$23-1,F$34=$D$23)),$D$25/2,0)</x:f>
        <x:v>0</x:v>
      </x:c>
      <x:c r="G66" s="22" t="n">
        <x:f>IF(AND($D$3&lt;&gt;"Off",OR(G$34=$D$23-1,G$34=$D$23)),$D$25/2,0)</x:f>
        <x:v>0</x:v>
      </x:c>
      <x:c r="H66" s="22" t="n">
        <x:f>IF(AND($D$3&lt;&gt;"Off",OR(H$34=$D$23-1,H$34=$D$23)),$D$25/2,0)</x:f>
        <x:v>0</x:v>
      </x:c>
      <x:c r="I66" s="22" t="n">
        <x:f>IF(AND($D$3&lt;&gt;"Off",OR(I$34=$D$23-1,I$34=$D$23)),$D$25/2,0)</x:f>
        <x:v>0</x:v>
      </x:c>
      <x:c r="J66" s="22" t="n">
        <x:f>IF(AND($D$3&lt;&gt;"Off",OR(J$34=$D$23-1,J$34=$D$23)),$D$25/2,0)</x:f>
        <x:v>0</x:v>
      </x:c>
      <x:c r="K66" s="1"/>
      <x:c r="L66" s="1"/>
      <x:c r="M66" s="1"/>
    </x:row>
    <x:row r="67" ht="22" customHeight="1">
      <x:c r="A67" s="1"/>
      <x:c r="B67" s="1"/>
      <x:c r="C67" s="1" t="str">
        <x:v>Subscription fixed operating expense</x:v>
      </x:c>
      <x:c r="D67" s="22" t="n">
        <x:f>IF(AND($D$3&lt;&gt;"Off",D$34&gt;=$D$23),$D$27*(1+$D$29)^(D$34-$D$23),0)</x:f>
        <x:v>0</x:v>
      </x:c>
      <x:c r="E67" s="22" t="n">
        <x:f>IF(AND($D$3&lt;&gt;"Off",E$34&gt;=$D$23),$D$27*(1+$D$29)^(E$34-$D$23),0)</x:f>
        <x:v>60000</x:v>
      </x:c>
      <x:c r="F67" s="22" t="n">
        <x:f>IF(AND($D$3&lt;&gt;"Off",F$34&gt;=$D$23),$D$27*(1+$D$29)^(F$34-$D$23),0)</x:f>
        <x:v>72000</x:v>
      </x:c>
      <x:c r="G67" s="22" t="n">
        <x:f>IF(AND($D$3&lt;&gt;"Off",G$34&gt;=$D$23),$D$27*(1+$D$29)^(G$34-$D$23),0)</x:f>
        <x:v>86400</x:v>
      </x:c>
      <x:c r="H67" s="22" t="n">
        <x:f>IF(AND($D$3&lt;&gt;"Off",H$34&gt;=$D$23),$D$27*(1+$D$29)^(H$34-$D$23),0)</x:f>
        <x:v>103679.99999999999</x:v>
      </x:c>
      <x:c r="I67" s="22" t="n">
        <x:f>IF(AND($D$3&lt;&gt;"Off",I$34&gt;=$D$23),$D$27*(1+$D$29)^(I$34-$D$23),0)</x:f>
        <x:v>124416</x:v>
      </x:c>
      <x:c r="J67" s="22" t="n">
        <x:f>IF(AND($D$3&lt;&gt;"Off",J$34&gt;=$D$23),$D$27*(1+$D$29)^(J$34-$D$23),0)</x:f>
        <x:v>149299.19999999995</x:v>
      </x:c>
      <x:c r="K67" s="1"/>
      <x:c r="L67" s="1"/>
      <x:c r="M67" s="1"/>
    </x:row>
    <x:row r="68" ht="22" customHeight="1">
      <x:c r="A68" s="1"/>
      <x:c r="B68" s="1"/>
      <x:c r="C68" s="1" t="str">
        <x:v>Sponsorship build / reporting expense</x:v>
      </x:c>
      <x:c r="D68" s="22" t="n">
        <x:f>IF(AND($D$3="Subscriptions + sponsorship",OR(D$34=$D$24-1,D$34=$D$24)),$D$26/2,0)</x:f>
        <x:v>0</x:v>
      </x:c>
      <x:c r="E68" s="22" t="n">
        <x:f>IF(AND($D$3="Subscriptions + sponsorship",OR(E$34=$D$24-1,E$34=$D$24)),$D$26/2,0)</x:f>
        <x:v>0</x:v>
      </x:c>
      <x:c r="F68" s="22" t="n">
        <x:f>IF(AND($D$3="Subscriptions + sponsorship",OR(F$34=$D$24-1,F$34=$D$24)),$D$26/2,0)</x:f>
        <x:v>0</x:v>
      </x:c>
      <x:c r="G68" s="22" t="n">
        <x:f>IF(AND($D$3="Subscriptions + sponsorship",OR(G$34=$D$24-1,G$34=$D$24)),$D$26/2,0)</x:f>
        <x:v>0</x:v>
      </x:c>
      <x:c r="H68" s="22" t="n">
        <x:f>IF(AND($D$3="Subscriptions + sponsorship",OR(H$34=$D$24-1,H$34=$D$24)),$D$26/2,0)</x:f>
        <x:v>0</x:v>
      </x:c>
      <x:c r="I68" s="22" t="n">
        <x:f>IF(AND($D$3="Subscriptions + sponsorship",OR(I$34=$D$24-1,I$34=$D$24)),$D$26/2,0)</x:f>
        <x:v>0</x:v>
      </x:c>
      <x:c r="J68" s="22" t="n">
        <x:f>IF(AND($D$3="Subscriptions + sponsorship",OR(J$34=$D$24-1,J$34=$D$24)),$D$26/2,0)</x:f>
        <x:v>0</x:v>
      </x:c>
      <x:c r="K68" s="1"/>
      <x:c r="L68" s="1"/>
      <x:c r="M68" s="1"/>
    </x:row>
    <x:row r="69" ht="22" customHeight="1">
      <x:c r="A69" s="1"/>
      <x:c r="B69" s="1"/>
      <x:c r="C69" s="1" t="str">
        <x:v>Sponsorship fixed operating expense</x:v>
      </x:c>
      <x:c r="D69" s="22" t="n">
        <x:f>IF(AND($D$3="Subscriptions + sponsorship",D$34&gt;=$D$24),$D$28*(1+$D$30)^(D$34-$D$24),0)</x:f>
        <x:v>0</x:v>
      </x:c>
      <x:c r="E69" s="22" t="n">
        <x:f>IF(AND($D$3="Subscriptions + sponsorship",E$34&gt;=$D$24),$D$28*(1+$D$30)^(E$34-$D$24),0)</x:f>
        <x:v>0</x:v>
      </x:c>
      <x:c r="F69" s="22" t="n">
        <x:f>IF(AND($D$3="Subscriptions + sponsorship",F$34&gt;=$D$24),$D$28*(1+$D$30)^(F$34-$D$24),0)</x:f>
        <x:v>0</x:v>
      </x:c>
      <x:c r="G69" s="22" t="n">
        <x:f>IF(AND($D$3="Subscriptions + sponsorship",G$34&gt;=$D$24),$D$28*(1+$D$30)^(G$34-$D$24),0)</x:f>
        <x:v>0</x:v>
      </x:c>
      <x:c r="H69" s="22" t="n">
        <x:f>IF(AND($D$3="Subscriptions + sponsorship",H$34&gt;=$D$24),$D$28*(1+$D$30)^(H$34-$D$24),0)</x:f>
        <x:v>0</x:v>
      </x:c>
      <x:c r="I69" s="22" t="n">
        <x:f>IF(AND($D$3="Subscriptions + sponsorship",I$34&gt;=$D$24),$D$28*(1+$D$30)^(I$34-$D$24),0)</x:f>
        <x:v>0</x:v>
      </x:c>
      <x:c r="J69" s="22" t="n">
        <x:f>IF(AND($D$3="Subscriptions + sponsorship",J$34&gt;=$D$24),$D$28*(1+$D$30)^(J$34-$D$24),0)</x:f>
        <x:v>0</x:v>
      </x:c>
      <x:c r="K69" s="1"/>
      <x:c r="L69" s="1"/>
      <x:c r="M69" s="1"/>
    </x:row>
    <x:row r="70" ht="22" customHeight="1">
      <x:c r="A70" s="1"/>
      <x:c r="B70" s="1"/>
      <x:c r="C70" s="4" t="str">
        <x:v>Total incremental operating expense</x:v>
      </x:c>
      <x:c r="D70" s="24" t="n">
        <x:f>SUM(D66:D69)</x:f>
        <x:v>60000</x:v>
      </x:c>
      <x:c r="E70" s="24" t="n">
        <x:f>SUM(E66:E69)</x:f>
        <x:v>120000</x:v>
      </x:c>
      <x:c r="F70" s="24" t="n">
        <x:f>SUM(F66:F69)</x:f>
        <x:v>72000</x:v>
      </x:c>
      <x:c r="G70" s="24" t="n">
        <x:f>SUM(G66:G69)</x:f>
        <x:v>86400</x:v>
      </x:c>
      <x:c r="H70" s="24" t="n">
        <x:f>SUM(H66:H69)</x:f>
        <x:v>103679.99999999999</x:v>
      </x:c>
      <x:c r="I70" s="24" t="n">
        <x:f>SUM(I66:I69)</x:f>
        <x:v>124416</x:v>
      </x:c>
      <x:c r="J70" s="24" t="n">
        <x:f>SUM(J66:J69)</x:f>
        <x:v>149299.19999999995</x:v>
      </x:c>
      <x:c r="K70" s="1"/>
      <x:c r="L70" s="1"/>
      <x:c r="M70" s="1"/>
    </x:row>
    <x:row r="71" ht="22" customHeight="1">
      <x:c r="A71" s="1"/>
      <x:c r="B71" s="1"/>
      <x:c r="C71" s="1"/>
      <x:c r="D71" s="6"/>
      <x:c r="E71" s="6"/>
      <x:c r="F71" s="6"/>
      <x:c r="G71" s="6"/>
      <x:c r="H71" s="6"/>
      <x:c r="I71" s="6"/>
      <x:c r="J71" s="6"/>
      <x:c r="K71" s="1"/>
      <x:c r="L71" s="1"/>
      <x:c r="M71" s="1"/>
    </x:row>
    <x:row r="72" ht="22" customHeight="1">
      <x:c r="A72" s="1"/>
      <x:c r="B72" s="1"/>
      <x:c r="C72" s="4" t="str">
        <x:v>Incremental EBITDA vs same-volume core</x:v>
      </x:c>
      <x:c r="D72" s="24" t="n">
        <x:f>D59-D64-D70</x:f>
        <x:v>-60000</x:v>
      </x:c>
      <x:c r="E72" s="24" t="n">
        <x:f>E59-E64-E70</x:f>
        <x:v>-118123.315512</x:v>
      </x:c>
      <x:c r="F72" s="24" t="n">
        <x:f>F59-F64-F70</x:f>
        <x:v>-55861.463712</x:v>
      </x:c>
      <x:c r="G72" s="24" t="n">
        <x:f>G59-G64-G70</x:f>
        <x:v>-352.5934079999861</x:v>
      </x:c>
      <x:c r="H72" s="24" t="n">
        <x:f>H59-H64-H70</x:f>
        <x:v>215539.4178600001</x:v>
      </x:c>
      <x:c r="I72" s="24" t="n">
        <x:f>I59-I64-I70</x:f>
        <x:v>852849.7712159998</x:v>
      </x:c>
      <x:c r="J72" s="24" t="n">
        <x:f>J59-J64-J70</x:f>
        <x:v>2389655.1379199997</x:v>
      </x:c>
      <x:c r="K72" s="1"/>
      <x:c r="L72" s="1"/>
      <x:c r="M72" s="1"/>
    </x:row>
    <x:row r="73" ht="22" customHeight="1">
      <x:c r="A73" s="1"/>
      <x:c r="B73" s="1"/>
      <x:c r="C73" s="4" t="str">
        <x:v>Cumulative incremental EBITDA</x:v>
      </x:c>
      <x:c r="D73" s="24" t="n">
        <x:f>D72+0</x:f>
        <x:v>-60000</x:v>
      </x:c>
      <x:c r="E73" s="24" t="n">
        <x:f>E72+D73</x:f>
        <x:v>-178123.315512</x:v>
      </x:c>
      <x:c r="F73" s="24" t="n">
        <x:f>F72+E73</x:f>
        <x:v>-233984.779224</x:v>
      </x:c>
      <x:c r="G73" s="24" t="n">
        <x:f>G72+F73</x:f>
        <x:v>-234337.37263199998</x:v>
      </x:c>
      <x:c r="H73" s="24" t="n">
        <x:f>H72+G73</x:f>
        <x:v>-18797.95477199988</x:v>
      </x:c>
      <x:c r="I73" s="24" t="n">
        <x:f>I72+H73</x:f>
        <x:v>834051.816444</x:v>
      </x:c>
      <x:c r="J73" s="24" t="n">
        <x:f>J72+I73</x:f>
        <x:v>3223706.954364</x:v>
      </x:c>
      <x:c r="K73" s="1"/>
      <x:c r="L73" s="1"/>
      <x:c r="M73" s="1"/>
    </x:row>
    <x:row r="74" ht="22" customHeight="1">
      <x:c r="A74" s="1"/>
      <x:c r="B74" s="1"/>
      <x:c r="C74" s="1"/>
      <x:c r="D74" s="6"/>
      <x:c r="E74" s="6"/>
      <x:c r="F74" s="6"/>
      <x:c r="G74" s="6"/>
      <x:c r="H74" s="6"/>
      <x:c r="I74" s="6"/>
      <x:c r="J74" s="6"/>
      <x:c r="K74" s="1"/>
      <x:c r="L74" s="1"/>
      <x:c r="M74" s="1"/>
    </x:row>
    <x:row r="75" ht="22" customHeight="1">
      <x:c r="A75" s="1"/>
      <x:c r="B75" s="1"/>
      <x:c r="C75" s="1" t="str">
        <x:v>Subscription invoices</x:v>
      </x:c>
      <x:c r="D75" s="11" t="n">
        <x:f>D45</x:f>
        <x:v>0</x:v>
      </x:c>
      <x:c r="E75" s="11" t="n">
        <x:f>E45</x:f>
        <x:v>38.298</x:v>
      </x:c>
      <x:c r="F75" s="11" t="n">
        <x:f>F45</x:f>
        <x:v>318.6479999999999</x:v>
      </x:c>
      <x:c r="G75" s="11" t="n">
        <x:f>G45</x:f>
        <x:v>1660.0320000000002</x:v>
      </x:c>
      <x:c r="H75" s="11" t="n">
        <x:f>H45</x:f>
        <x:v>6161.6849999999995</x:v>
      </x:c>
      <x:c r="I75" s="11" t="n">
        <x:f>I45</x:f>
        <x:v>18787.235999999997</x:v>
      </x:c>
      <x:c r="J75" s="11" t="n">
        <x:f>J45</x:f>
        <x:v>47884.32000000001</x:v>
      </x:c>
      <x:c r="K75" s="1"/>
      <x:c r="L75" s="1"/>
      <x:c r="M75" s="1"/>
    </x:row>
    <x:row r="76" ht="22" customHeight="1">
      <x:c r="A76" s="1"/>
      <x:c r="B76" s="1"/>
      <x:c r="C76" s="1" t="str">
        <x:v>Sponsored invoices before consolidation</x:v>
      </x:c>
      <x:c r="D76" s="11" t="n">
        <x:f>MIN(D50*$D$18,D54)</x:f>
        <x:v>0</x:v>
      </x:c>
      <x:c r="E76" s="11" t="n">
        <x:f>MIN(E50*$D$18,E54)</x:f>
        <x:v>0</x:v>
      </x:c>
      <x:c r="F76" s="11" t="n">
        <x:f>MIN(F50*$D$18,F54)</x:f>
        <x:v>0</x:v>
      </x:c>
      <x:c r="G76" s="11" t="n">
        <x:f>MIN(G50*$D$18,G54)</x:f>
        <x:v>0</x:v>
      </x:c>
      <x:c r="H76" s="11" t="n">
        <x:f>MIN(H50*$D$18,H54)</x:f>
        <x:v>0</x:v>
      </x:c>
      <x:c r="I76" s="11" t="n">
        <x:f>MIN(I50*$D$18,I54)</x:f>
        <x:v>0</x:v>
      </x:c>
      <x:c r="J76" s="11" t="n">
        <x:f>MIN(J50*$D$18,J54)</x:f>
        <x:v>0</x:v>
      </x:c>
      <x:c r="K76" s="1"/>
      <x:c r="L76" s="1"/>
      <x:c r="M76" s="1"/>
    </x:row>
    <x:row r="77" ht="22" customHeight="1">
      <x:c r="A77" s="1"/>
      <x:c r="B77" s="1"/>
      <x:c r="C77" s="1" t="str">
        <x:v>Combined provider invoices</x:v>
      </x:c>
      <x:c r="D77" s="11" t="n">
        <x:f>D75+D76-MIN(D75,D76)*$D$16</x:f>
        <x:v>0</x:v>
      </x:c>
      <x:c r="E77" s="11" t="n">
        <x:f>E75+E76-MIN(E75,E76)*$D$16</x:f>
        <x:v>38.298</x:v>
      </x:c>
      <x:c r="F77" s="11" t="n">
        <x:f>F75+F76-MIN(F75,F76)*$D$16</x:f>
        <x:v>318.6479999999999</x:v>
      </x:c>
      <x:c r="G77" s="11" t="n">
        <x:f>G75+G76-MIN(G75,G76)*$D$16</x:f>
        <x:v>1660.0320000000002</x:v>
      </x:c>
      <x:c r="H77" s="11" t="n">
        <x:f>H75+H76-MIN(H75,H76)*$D$16</x:f>
        <x:v>6161.6849999999995</x:v>
      </x:c>
      <x:c r="I77" s="11" t="n">
        <x:f>I75+I76-MIN(I75,I76)*$D$16</x:f>
        <x:v>18787.235999999997</x:v>
      </x:c>
      <x:c r="J77" s="11" t="n">
        <x:f>J75+J76-MIN(J75,J76)*$D$16</x:f>
        <x:v>47884.32000000001</x:v>
      </x:c>
      <x:c r="K77" s="1"/>
      <x:c r="L77" s="1"/>
      <x:c r="M77" s="1"/>
    </x:row>
    <x:row r="78" ht="22" customHeight="1">
      <x:c r="A78" s="1"/>
      <x:c r="B78" s="1"/>
      <x:c r="C78" s="1"/>
      <x:c r="D78" s="6"/>
      <x:c r="E78" s="6"/>
      <x:c r="F78" s="6"/>
      <x:c r="G78" s="6"/>
      <x:c r="H78" s="6"/>
      <x:c r="I78" s="6"/>
      <x:c r="J78" s="6"/>
      <x:c r="K78" s="1"/>
      <x:c r="L78" s="1"/>
      <x:c r="M78" s="1"/>
    </x:row>
    <x:row r="79" ht="22" customHeight="1">
      <x:c r="A79" s="1"/>
      <x:c r="B79" s="1"/>
      <x:c r="C79" s="1" t="str">
        <x:v>Annual fixed costs / buffer basis</x:v>
      </x:c>
      <x:c r="D79" s="22" t="n">
        <x:f>D67+D69</x:f>
        <x:v>0</x:v>
      </x:c>
      <x:c r="E79" s="22" t="n">
        <x:f>E67+E69</x:f>
        <x:v>60000</x:v>
      </x:c>
      <x:c r="F79" s="22" t="n">
        <x:f>F67+F69</x:f>
        <x:v>72000</x:v>
      </x:c>
      <x:c r="G79" s="22" t="n">
        <x:f>G67+G69</x:f>
        <x:v>86400</x:v>
      </x:c>
      <x:c r="H79" s="22" t="n">
        <x:f>H67+H69</x:f>
        <x:v>103679.99999999999</x:v>
      </x:c>
      <x:c r="I79" s="22" t="n">
        <x:f>I67+I69</x:f>
        <x:v>124416</x:v>
      </x:c>
      <x:c r="J79" s="22" t="n">
        <x:f>J67+J69</x:f>
        <x:v>149299.19999999995</x:v>
      </x:c>
      <x:c r="K79" s="1"/>
      <x:c r="L79" s="1"/>
      <x:c r="M79" s="1"/>
    </x:row>
    <x:row r="80" ht="22" customHeight="1">
      <x:c r="A80" s="1"/>
      <x:c r="B80" s="1"/>
      <x:c r="C80" s="1"/>
      <x:c r="D80" s="6"/>
      <x:c r="E80" s="6"/>
      <x:c r="F80" s="6"/>
      <x:c r="G80" s="6"/>
      <x:c r="H80" s="6"/>
      <x:c r="I80" s="6"/>
      <x:c r="J80" s="6"/>
      <x:c r="K80" s="1"/>
      <x:c r="L80" s="1"/>
      <x:c r="M80" s="1"/>
    </x:row>
    <x:row r="81" ht="22" customHeight="1">
      <x:c r="A81" s="1"/>
      <x:c r="B81" s="1"/>
      <x:c r="C81" s="1" t="str">
        <x:v>Tier adoption sum above 100% / check</x:v>
      </x:c>
      <x:c r="D81" s="11" t="n">
        <x:f>MAX(0,SUM(D36:D37)-1)</x:f>
        <x:v>0</x:v>
      </x:c>
      <x:c r="E81" s="11" t="n">
        <x:f>MAX(0,SUM(E36:E37)-1)</x:f>
        <x:v>0</x:v>
      </x:c>
      <x:c r="F81" s="11" t="n">
        <x:f>MAX(0,SUM(F36:F37)-1)</x:f>
        <x:v>0</x:v>
      </x:c>
      <x:c r="G81" s="11" t="n">
        <x:f>MAX(0,SUM(G36:G37)-1)</x:f>
        <x:v>0</x:v>
      </x:c>
      <x:c r="H81" s="11" t="n">
        <x:f>MAX(0,SUM(H36:H37)-1)</x:f>
        <x:v>0</x:v>
      </x:c>
      <x:c r="I81" s="11" t="n">
        <x:f>MAX(0,SUM(I36:I37)-1)</x:f>
        <x:v>0</x:v>
      </x:c>
      <x:c r="J81" s="11" t="n">
        <x:f>MAX(0,SUM(J36:J37)-1)</x:f>
        <x:v>0</x:v>
      </x:c>
      <x:c r="K81" s="1"/>
      <x:c r="L81" s="1"/>
      <x:c r="M81" s="1"/>
    </x:row>
    <x:row r="82" ht="22" customHeight="1">
      <x:c r="A82" s="1"/>
      <x:c r="B82" s="1"/>
      <x:c r="C82" s="1" t="str">
        <x:v>Sponsored pairs above total new pairs / check</x:v>
      </x:c>
      <x:c r="D82" s="49" t="n">
        <x:f>MAX(0,D54-'Operating model'!D7)</x:f>
        <x:v>0</x:v>
      </x:c>
      <x:c r="E82" s="49" t="n">
        <x:f>MAX(0,E54-'Operating model'!E7)</x:f>
        <x:v>0</x:v>
      </x:c>
      <x:c r="F82" s="49" t="n">
        <x:f>MAX(0,F54-'Operating model'!F7)</x:f>
        <x:v>0</x:v>
      </x:c>
      <x:c r="G82" s="49" t="n">
        <x:f>MAX(0,G54-'Operating model'!G7)</x:f>
        <x:v>0</x:v>
      </x:c>
      <x:c r="H82" s="49" t="n">
        <x:f>MAX(0,H54-'Operating model'!H7)</x:f>
        <x:v>0</x:v>
      </x:c>
      <x:c r="I82" s="49" t="n">
        <x:f>MAX(0,I54-'Operating model'!I7)</x:f>
        <x:v>0</x:v>
      </x:c>
      <x:c r="J82" s="49" t="n">
        <x:f>MAX(0,J54-'Operating model'!J7)</x:f>
        <x:v>0</x:v>
      </x:c>
      <x:c r="K82" s="1"/>
      <x:c r="L82" s="1"/>
      <x:c r="M82" s="1"/>
    </x:row>
    <x:row r="83" ht="22" customHeight="1">
      <x:c r="A83" s="1"/>
      <x:c r="B83" s="1"/>
      <x:c r="C83" s="1" t="str">
        <x:v>Assumptions out of bounds / check</x:v>
      </x:c>
      <x:c r="D83" s="11" t="n">
        <x:f>IF(OR(MIN(D36:D41)&lt;0,D38&gt;12,MAX(D39:D41)&gt;1,$D$9&lt;=0,$D$16&lt;0,$D$16&gt;1,$D$10&lt;0,$D$10&gt;1),1,0)</x:f>
        <x:v>0</x:v>
      </x:c>
      <x:c r="E83" s="11" t="n">
        <x:f>IF(OR(MIN(E36:E41)&lt;0,E38&gt;12,MAX(E39:E41)&gt;1,$D$9&lt;=0,$D$16&lt;0,$D$16&gt;1,$D$10&lt;0,$D$10&gt;1),1,0)</x:f>
        <x:v>0</x:v>
      </x:c>
      <x:c r="F83" s="11" t="n">
        <x:f>IF(OR(MIN(F36:F41)&lt;0,F38&gt;12,MAX(F39:F41)&gt;1,$D$9&lt;=0,$D$16&lt;0,$D$16&gt;1,$D$10&lt;0,$D$10&gt;1),1,0)</x:f>
        <x:v>0</x:v>
      </x:c>
      <x:c r="G83" s="11" t="n">
        <x:f>IF(OR(MIN(G36:G41)&lt;0,G38&gt;12,MAX(G39:G41)&gt;1,$D$9&lt;=0,$D$16&lt;0,$D$16&gt;1,$D$10&lt;0,$D$10&gt;1),1,0)</x:f>
        <x:v>0</x:v>
      </x:c>
      <x:c r="H83" s="11" t="n">
        <x:f>IF(OR(MIN(H36:H41)&lt;0,H38&gt;12,MAX(H39:H41)&gt;1,$D$9&lt;=0,$D$16&lt;0,$D$16&gt;1,$D$10&lt;0,$D$10&gt;1),1,0)</x:f>
        <x:v>0</x:v>
      </x:c>
      <x:c r="I83" s="11" t="n">
        <x:f>IF(OR(MIN(I36:I41)&lt;0,I38&gt;12,MAX(I39:I41)&gt;1,$D$9&lt;=0,$D$16&lt;0,$D$16&gt;1,$D$10&lt;0,$D$10&gt;1),1,0)</x:f>
        <x:v>0</x:v>
      </x:c>
      <x:c r="J83" s="11" t="n">
        <x:f>IF(OR(MIN(J36:J41)&lt;0,J38&gt;12,MAX(J39:J41)&gt;1,$D$9&lt;=0,$D$16&lt;0,$D$16&gt;1,$D$10&lt;0,$D$10&gt;1),1,0)</x:f>
        <x:v>0</x:v>
      </x:c>
      <x:c r="K83" s="1"/>
      <x:c r="L83" s="1"/>
      <x:c r="M83" s="1"/>
    </x:row>
    <x:row r="84" ht="22" customHeight="1">
      <x:c r="A84" s="1"/>
      <x:c r="B84" s="1"/>
      <x:c r="C84" s="1"/>
      <x:c r="D84" s="6"/>
      <x:c r="E84" s="6"/>
      <x:c r="F84" s="6"/>
      <x:c r="G84" s="6"/>
      <x:c r="H84" s="6"/>
      <x:c r="I84" s="6"/>
      <x:c r="J84" s="6"/>
      <x:c r="K84" s="1"/>
      <x:c r="L84" s="1"/>
      <x:c r="M84" s="1"/>
    </x:row>
    <x:row r="85" ht="22" customHeight="1">
      <x:c r="A85" s="1"/>
      <x:c r="B85" s="1"/>
      <x:c r="C85" s="1"/>
      <x:c r="D85" s="6"/>
      <x:c r="E85" s="6"/>
      <x:c r="F85" s="6"/>
      <x:c r="G85" s="6"/>
      <x:c r="H85" s="6"/>
      <x:c r="I85" s="6"/>
      <x:c r="J85" s="6"/>
      <x:c r="K85" s="1"/>
      <x:c r="L85" s="1"/>
      <x:c r="M85" s="1"/>
    </x:row>
    <x:row r="86" ht="22" customHeight="1">
      <x:c r="A86" s="1"/>
      <x:c r="B86" s="1"/>
      <x:c r="C86" s="32" t="str">
        <x:v>Subscriptions is the selected investor forecast. Select Off or Subscriptions + sponsorship to isolate the revenue effect. Adoption and costs are planning assumptions. Pro and Teams are mutually exclusive tiers.</x:v>
      </x:c>
      <x:c r="D86" s="33"/>
      <x:c r="E86" s="33"/>
      <x:c r="F86" s="33"/>
      <x:c r="G86" s="33"/>
      <x:c r="H86" s="33"/>
      <x:c r="I86" s="33"/>
      <x:c r="J86" s="33"/>
      <x:c r="K86" s="1"/>
      <x:c r="L86" s="1"/>
      <x:c r="M86" s="1"/>
    </x:row>
    <x:row r="87" ht="22" customHeight="1">
      <x:c r="A87" s="1"/>
      <x:c r="B87" s="1"/>
      <x:c r="C87" s="32"/>
      <x:c r="D87" s="33"/>
      <x:c r="E87" s="33"/>
      <x:c r="F87" s="33"/>
      <x:c r="G87" s="33"/>
      <x:c r="H87" s="33"/>
      <x:c r="I87" s="33"/>
      <x:c r="J87" s="33"/>
      <x:c r="K87" s="1"/>
      <x:c r="L87" s="1"/>
      <x:c r="M87" s="1"/>
    </x:row>
    <x:row r="88" ht="22" customHeight="1">
      <x:c r="A88" s="1"/>
      <x:c r="B88" s="1"/>
      <x:c r="C88" s="1"/>
      <x:c r="D88" s="6"/>
      <x:c r="E88" s="6"/>
      <x:c r="F88" s="6"/>
      <x:c r="G88" s="6"/>
      <x:c r="H88" s="6"/>
      <x:c r="I88" s="6"/>
      <x:c r="J88" s="6"/>
      <x:c r="K88" s="1"/>
      <x:c r="L88" s="1"/>
      <x:c r="M88" s="1"/>
    </x:row>
    <x:row r="89" ht="22" customHeight="1">
      <x:c r="A89" s="1"/>
      <x:c r="B89" s="1"/>
      <x:c r="C89" s="32" t="str">
        <x:v>Providers pay for optional business software; crew workers pay $0. Pro includes local crew recruiting, applicant management, scheduling, customer history, estimates, routes and reporting. Teams adds multi-crew permissions, labor costing and utilization. Subscription status does not improve customer-match ranking.</x:v>
      </x:c>
      <x:c r="D89" s="33"/>
      <x:c r="E89" s="33"/>
      <x:c r="F89" s="33"/>
      <x:c r="G89" s="33"/>
      <x:c r="H89" s="33"/>
      <x:c r="I89" s="33"/>
      <x:c r="J89" s="33"/>
      <x:c r="K89" s="1"/>
      <x:c r="L89" s="1"/>
      <x:c r="M89" s="1"/>
    </x:row>
    <x:row r="90" ht="22" customHeight="1">
      <x:c r="A90" s="1"/>
      <x:c r="B90" s="1"/>
      <x:c r="C90" s="32"/>
      <x:c r="D90" s="33"/>
      <x:c r="E90" s="33"/>
      <x:c r="F90" s="33"/>
      <x:c r="G90" s="33"/>
      <x:c r="H90" s="33"/>
      <x:c r="I90" s="33"/>
      <x:c r="J90" s="33"/>
      <x:c r="K90" s="1"/>
      <x:c r="L90" s="1"/>
      <x:c r="M90" s="1"/>
    </x:row>
    <x:row r="91" ht="22" customHeight="1">
      <x:c r="A91" s="1"/>
      <x:c r="B91" s="1"/>
      <x:c r="C91" s="1"/>
      <x:c r="D91" s="6"/>
      <x:c r="E91" s="6"/>
      <x:c r="F91" s="6"/>
      <x:c r="G91" s="6"/>
      <x:c r="H91" s="6"/>
      <x:c r="I91" s="6"/>
      <x:c r="J91" s="6"/>
      <x:c r="K91" s="1"/>
      <x:c r="L91" s="1"/>
      <x:c r="M91" s="1"/>
    </x:row>
    <x:row r="92" ht="22" customHeight="1">
      <x:c r="A92" s="1"/>
      <x:c r="B92" s="1"/>
      <x:c r="C92" s="32" t="str">
        <x:v>Sponsorship: $15 extra after a qualified new relationship completes its first paid job with a $150+ service bill. $150 monthly budget cap. This first-job eligibility share is independent of the all-job service mix and must be measured. Changing the minimum requires updating eligibility shares. No repeat, canceled or duplicate match charge.</x:v>
      </x:c>
      <x:c r="D92" s="33"/>
      <x:c r="E92" s="33"/>
      <x:c r="F92" s="33"/>
      <x:c r="G92" s="33"/>
      <x:c r="H92" s="33"/>
      <x:c r="I92" s="33"/>
      <x:c r="J92" s="33"/>
      <x:c r="K92" s="1"/>
      <x:c r="L92" s="1"/>
      <x:c r="M92" s="1"/>
    </x:row>
    <x:row r="93" ht="22" customHeight="1">
      <x:c r="A93" s="1"/>
      <x:c r="B93" s="1"/>
      <x:c r="C93" s="32"/>
      <x:c r="D93" s="33"/>
      <x:c r="E93" s="33"/>
      <x:c r="F93" s="33"/>
      <x:c r="G93" s="33"/>
      <x:c r="H93" s="33"/>
      <x:c r="I93" s="33"/>
      <x:c r="J93" s="33"/>
      <x:c r="K93" s="1"/>
      <x:c r="L93" s="1"/>
      <x:c r="M93" s="1"/>
    </x:row>
    <x:row r="94" ht="22" customHeight="1">
      <x:c r="A94" s="1"/>
      <x:c r="B94" s="1"/>
      <x:c r="C94" s="1"/>
      <x:c r="D94" s="6"/>
      <x:c r="E94" s="6"/>
      <x:c r="F94" s="6"/>
      <x:c r="G94" s="6"/>
      <x:c r="H94" s="6"/>
      <x:c r="I94" s="6"/>
      <x:c r="J94" s="6"/>
      <x:c r="K94" s="1"/>
      <x:c r="L94" s="1"/>
      <x:c r="M94" s="1"/>
    </x:row>
    <x:row r="95" ht="22" customHeight="1">
      <x:c r="A95" s="1"/>
      <x:c r="B95" s="1"/>
      <x:c r="C95" s="32" t="str">
        <x:v>Pilot only: one labeled sponsored option among qualified backups. Quality-first main recommendation stays unchanged. Capacity, verification and comparable-fit thresholds still apply. Selection/budget bounds limit modeled ad inventory. No extra households or finder fees are created by advertising.</x:v>
      </x:c>
      <x:c r="D95" s="33"/>
      <x:c r="E95" s="33"/>
      <x:c r="F95" s="33"/>
      <x:c r="G95" s="33"/>
      <x:c r="H95" s="33"/>
      <x:c r="I95" s="33"/>
      <x:c r="J95" s="33"/>
      <x:c r="K95" s="1"/>
      <x:c r="L95" s="1"/>
      <x:c r="M95" s="1"/>
    </x:row>
    <x:row r="96" ht="22" customHeight="1">
      <x:c r="A96" s="1"/>
      <x:c r="B96" s="1"/>
      <x:c r="C96" s="32"/>
      <x:c r="D96" s="33"/>
      <x:c r="E96" s="33"/>
      <x:c r="F96" s="33"/>
      <x:c r="G96" s="33"/>
      <x:c r="H96" s="33"/>
      <x:c r="I96" s="33"/>
      <x:c r="J96" s="33"/>
      <x:c r="K96" s="1"/>
      <x:c r="L96" s="1"/>
      <x:c r="M96" s="1"/>
    </x:row>
    <x:row r="97" ht="22" customHeight="1">
      <x:c r="A97" s="1"/>
      <x:c r="B97" s="1"/>
      <x:c r="C97" s="1"/>
      <x:c r="D97" s="6"/>
      <x:c r="E97" s="6"/>
      <x:c r="F97" s="6"/>
      <x:c r="G97" s="6"/>
      <x:c r="H97" s="6"/>
      <x:c r="I97" s="6"/>
      <x:c r="J97" s="6"/>
      <x:c r="K97" s="1"/>
      <x:c r="L97" s="1"/>
      <x:c r="M97" s="1"/>
    </x:row>
    <x:row r="98" ht="22" customHeight="1">
      <x:c r="A98" s="1"/>
      <x:c r="B98" s="1"/>
      <x:c r="C98" s="32" t="str">
        <x:v>All add-ons are billed separately from homeowner service GMV on provider invoices. YardMatch absorbs card collection and Billing charges. Monthly consolidation assumes 50% invoice overlap. Revenue is net of 2% credits/noncollection; processing is on gross billings. No worker deductions or extra seat charges.</x:v>
      </x:c>
      <x:c r="D98" s="33"/>
      <x:c r="E98" s="33"/>
      <x:c r="F98" s="33"/>
      <x:c r="G98" s="33"/>
      <x:c r="H98" s="33"/>
      <x:c r="I98" s="33"/>
      <x:c r="J98" s="33"/>
      <x:c r="K98" s="1"/>
      <x:c r="L98" s="1"/>
      <x:c r="M98" s="1"/>
    </x:row>
    <x:row r="99" ht="22" customHeight="1">
      <x:c r="A99" s="1"/>
      <x:c r="B99" s="1"/>
      <x:c r="C99" s="32"/>
      <x:c r="D99" s="33"/>
      <x:c r="E99" s="33"/>
      <x:c r="F99" s="33"/>
      <x:c r="G99" s="33"/>
      <x:c r="H99" s="33"/>
      <x:c r="I99" s="33"/>
      <x:c r="J99" s="33"/>
      <x:c r="K99" s="1"/>
      <x:c r="L99" s="1"/>
      <x:c r="M99" s="1"/>
    </x:row>
    <x:row r="100" ht="22" customHeight="1">
      <x:c r="A100" s="1"/>
      <x:c r="B100" s="1"/>
      <x:c r="C100" s="1"/>
      <x:c r="D100" s="6"/>
      <x:c r="E100" s="6"/>
      <x:c r="F100" s="6"/>
      <x:c r="G100" s="6"/>
      <x:c r="H100" s="6"/>
      <x:c r="I100" s="6"/>
      <x:c r="J100" s="6"/>
      <x:c r="K100" s="1"/>
      <x:c r="L100" s="1"/>
      <x:c r="M100" s="1"/>
    </x:row>
    <x:row r="101" ht="22" customHeight="1">
      <x:c r="A101" s="1"/>
      <x:c r="B101" s="1"/>
      <x:c r="C101" s="32" t="str">
        <x:v>Build costs are fully expensed half before launch and half at launch. Fixed costs include incremental product, sales and account management; variable delivery is separate. Providers are already acquired in the core forecast. No assumed retention, CAC or matching lift. Customer service payments remain outside YardMatch.</x:v>
      </x:c>
      <x:c r="D101" s="33"/>
      <x:c r="E101" s="33"/>
      <x:c r="F101" s="33"/>
      <x:c r="G101" s="33"/>
      <x:c r="H101" s="33"/>
      <x:c r="I101" s="33"/>
      <x:c r="J101" s="33"/>
      <x:c r="K101" s="1"/>
      <x:c r="L101" s="1"/>
      <x:c r="M101" s="1"/>
    </x:row>
    <x:row r="102" ht="22" customHeight="1">
      <x:c r="A102" s="1"/>
      <x:c r="B102" s="1"/>
      <x:c r="C102" s="32"/>
      <x:c r="D102" s="33"/>
      <x:c r="E102" s="33"/>
      <x:c r="F102" s="33"/>
      <x:c r="G102" s="33"/>
      <x:c r="H102" s="33"/>
      <x:c r="I102" s="33"/>
      <x:c r="J102" s="33"/>
      <x:c r="K102" s="1"/>
      <x:c r="L102" s="1"/>
      <x:c r="M102" s="1"/>
    </x:row>
    <x:row r="103" ht="22" customHeight="1">
      <x:c r="A103" s="1"/>
      <x:c r="B103" s="1"/>
      <x:c r="C103" s="1"/>
      <x:c r="D103" s="6"/>
      <x:c r="E103" s="6"/>
      <x:c r="F103" s="6"/>
      <x:c r="G103" s="6"/>
      <x:c r="H103" s="6"/>
      <x:c r="I103" s="6"/>
      <x:c r="J103" s="6"/>
      <x:c r="K103" s="1"/>
      <x:c r="L103" s="1"/>
      <x:c r="M103" s="1"/>
    </x:row>
    <x:row r="104" ht="22" customHeight="1">
      <x:c r="A104" s="1"/>
      <x:c r="B104" s="1"/>
      <x:c r="C104" s="32" t="str">
        <x:v>Sources checked Sep 20, 2026: getjobber.com/pricing (Core $49/month, no commitment, 1 user); zocdoc.com/provider-help/en/articles/8709753-how-much-does-sponsored-results-cost (ad fees above booking fees); stripe.com/billing/pricing (0.7% Billing + separate Payments costs). Product prices and adoption are YardMatch assumptions.</x:v>
      </x:c>
      <x:c r="D104" s="33"/>
      <x:c r="E104" s="33"/>
      <x:c r="F104" s="33"/>
      <x:c r="G104" s="33"/>
      <x:c r="H104" s="33"/>
      <x:c r="I104" s="33"/>
      <x:c r="J104" s="33"/>
      <x:c r="K104" s="1"/>
      <x:c r="L104" s="1"/>
      <x:c r="M104" s="1"/>
    </x:row>
    <x:row r="105" ht="22" customHeight="1">
      <x:c r="A105" s="1"/>
      <x:c r="B105" s="1"/>
      <x:c r="C105" s="32"/>
      <x:c r="D105" s="33"/>
      <x:c r="E105" s="33"/>
      <x:c r="F105" s="33"/>
      <x:c r="G105" s="33"/>
      <x:c r="H105" s="33"/>
      <x:c r="I105" s="33"/>
      <x:c r="J105" s="33"/>
      <x:c r="K105" s="1"/>
      <x:c r="L105" s="1"/>
      <x:c r="M105" s="1"/>
    </x:row>
    <x:row r="106" ht="22" customHeight="1">
      <x:c r="A106" s="1"/>
      <x:c r="B106" s="1"/>
      <x:c r="C106" s="1"/>
      <x:c r="D106" s="6"/>
      <x:c r="E106" s="6"/>
      <x:c r="F106" s="6"/>
      <x:c r="G106" s="6"/>
      <x:c r="H106" s="6"/>
      <x:c r="I106" s="6"/>
      <x:c r="J106" s="6"/>
      <x:c r="K106" s="1"/>
      <x:c r="L106" s="1"/>
      <x:c r="M106" s="1"/>
    </x:row>
    <x:row r="107" ht="22" customHeight="1">
      <x:c r="A107" s="1"/>
      <x:c r="B107" s="1"/>
      <x:c r="C107" s="1"/>
      <x:c r="D107" s="6"/>
      <x:c r="E107" s="6"/>
      <x:c r="F107" s="6"/>
      <x:c r="G107" s="6"/>
      <x:c r="H107" s="6"/>
      <x:c r="I107" s="6"/>
      <x:c r="J107" s="6"/>
      <x:c r="K107" s="1"/>
      <x:c r="L107" s="1"/>
      <x:c r="M107" s="1"/>
    </x:row>
  </x:sheetData>
  <x:mergeCells>
    <x:mergeCell ref="C86:J87"/>
    <x:mergeCell ref="C89:J90"/>
    <x:mergeCell ref="C92:J93"/>
    <x:mergeCell ref="C95:J96"/>
    <x:mergeCell ref="C98:J99"/>
    <x:mergeCell ref="C101:J102"/>
    <x:mergeCell ref="C104:J105"/>
  </x:mergeCells>
  <x:dataValidations count="1">
    <x:dataValidation type="list" sqref="D3">
      <x:formula1>"Off,Subscriptions,Subscriptions + sponsorship"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National service-area rollout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"/>
      <x:c r="M5" s="1"/>
    </x:row>
    <x:row r="6" ht="22" customHeight="1">
      <x:c r="A6" s="1"/>
      <x:c r="B6" s="1"/>
      <x:c r="C6" s="5" t="str">
        <x:v>National footprint / editable planning cases</x:v>
      </x:c>
      <x:c r="D6" s="26"/>
      <x:c r="E6" s="26"/>
      <x:c r="F6" s="26"/>
      <x:c r="G6" s="26"/>
      <x:c r="H6" s="26"/>
      <x:c r="I6" s="26"/>
      <x:c r="J6" s="26"/>
      <x:c r="K6" s="1"/>
      <x:c r="L6" s="1"/>
      <x:c r="M6" s="1"/>
    </x:row>
    <x:row r="7" ht="22" customHeight="1">
      <x:c r="A7" s="1"/>
      <x:c r="B7" s="1"/>
      <x:c r="C7" s="1" t="str">
        <x:v>Base service areas</x:v>
      </x:c>
      <x:c r="D7" s="43" t="n">
        <x:v>1</x:v>
      </x:c>
      <x:c r="E7" s="43" t="n">
        <x:v>6</x:v>
      </x:c>
      <x:c r="F7" s="43" t="n">
        <x:v>25</x:v>
      </x:c>
      <x:c r="G7" s="43" t="n">
        <x:v>70</x:v>
      </x:c>
      <x:c r="H7" s="43" t="n">
        <x:v>175</x:v>
      </x:c>
      <x:c r="I7" s="43" t="n">
        <x:v>400</x:v>
      </x:c>
      <x:c r="J7" s="43" t="n">
        <x:v>750</x:v>
      </x:c>
      <x:c r="K7" s="1"/>
      <x:c r="L7" s="1"/>
      <x:c r="M7" s="1"/>
    </x:row>
    <x:row r="8" ht="22" customHeight="1">
      <x:c r="A8" s="1"/>
      <x:c r="B8" s="1"/>
      <x:c r="C8" s="1" t="str">
        <x:v>Downside service areas</x:v>
      </x:c>
      <x:c r="D8" s="43" t="n">
        <x:v>1</x:v>
      </x:c>
      <x:c r="E8" s="43" t="n">
        <x:v>4</x:v>
      </x:c>
      <x:c r="F8" s="43" t="n">
        <x:v>12</x:v>
      </x:c>
      <x:c r="G8" s="43" t="n">
        <x:v>35</x:v>
      </x:c>
      <x:c r="H8" s="43" t="n">
        <x:v>90</x:v>
      </x:c>
      <x:c r="I8" s="43" t="n">
        <x:v>200</x:v>
      </x:c>
      <x:c r="J8" s="43" t="n">
        <x:v>400</x:v>
      </x:c>
      <x:c r="K8" s="1"/>
      <x:c r="L8" s="1"/>
      <x:c r="M8" s="1"/>
    </x:row>
    <x:row r="9" ht="22" customHeight="1">
      <x:c r="A9" s="1"/>
      <x:c r="B9" s="1"/>
      <x:c r="C9" s="1" t="str">
        <x:v>Upside service areas</x:v>
      </x:c>
      <x:c r="D9" s="43" t="n">
        <x:v>1</x:v>
      </x:c>
      <x:c r="E9" s="43" t="n">
        <x:v>8</x:v>
      </x:c>
      <x:c r="F9" s="43" t="n">
        <x:v>35</x:v>
      </x:c>
      <x:c r="G9" s="43" t="n">
        <x:v>110</x:v>
      </x:c>
      <x:c r="H9" s="43" t="n">
        <x:v>300</x:v>
      </x:c>
      <x:c r="I9" s="43" t="n">
        <x:v>700</x:v>
      </x:c>
      <x:c r="J9" s="43" t="n">
        <x:v>1200</x:v>
      </x:c>
      <x:c r="K9" s="1"/>
      <x:c r="L9" s="1"/>
      <x:c r="M9" s="1"/>
    </x:row>
    <x:row r="10" ht="22" customHeight="1">
      <x:c r="A10" s="1"/>
      <x:c r="B10" s="1"/>
      <x:c r="C10" s="4" t="str">
        <x:v>Active service areas / selected case</x:v>
      </x:c>
      <x:c r="D10" s="53" t="n">
        <x:f>IF('Assumptions'!$D$3="Base",D7,IF('Assumptions'!$D$3="Downside",D8,D9))</x:f>
        <x:v>1</x:v>
      </x:c>
      <x:c r="E10" s="53" t="n">
        <x:f>IF('Assumptions'!$D$3="Base",E7,IF('Assumptions'!$D$3="Downside",E8,E9))</x:f>
        <x:v>6</x:v>
      </x:c>
      <x:c r="F10" s="53" t="n">
        <x:f>IF('Assumptions'!$D$3="Base",F7,IF('Assumptions'!$D$3="Downside",F8,F9))</x:f>
        <x:v>25</x:v>
      </x:c>
      <x:c r="G10" s="53" t="n">
        <x:f>IF('Assumptions'!$D$3="Base",G7,IF('Assumptions'!$D$3="Downside",G8,G9))</x:f>
        <x:v>70</x:v>
      </x:c>
      <x:c r="H10" s="53" t="n">
        <x:f>IF('Assumptions'!$D$3="Base",H7,IF('Assumptions'!$D$3="Downside",H8,H9))</x:f>
        <x:v>175</x:v>
      </x:c>
      <x:c r="I10" s="53" t="n">
        <x:f>IF('Assumptions'!$D$3="Base",I7,IF('Assumptions'!$D$3="Downside",I8,I9))</x:f>
        <x:v>400</x:v>
      </x:c>
      <x:c r="J10" s="53" t="n">
        <x:f>IF('Assumptions'!$D$3="Base",J7,IF('Assumptions'!$D$3="Downside",J8,J9))</x:f>
        <x:v>750</x:v>
      </x:c>
      <x:c r="K10" s="1"/>
      <x:c r="L10" s="1"/>
      <x:c r="M10" s="1"/>
    </x:row>
    <x:row r="11" ht="22" customHeight="1">
      <x:c r="A11" s="1"/>
      <x:c r="B11" s="1"/>
      <x:c r="C11" s="1"/>
      <x:c r="D11" s="6"/>
      <x:c r="E11" s="6"/>
      <x:c r="F11" s="6"/>
      <x:c r="G11" s="6"/>
      <x:c r="H11" s="6"/>
      <x:c r="I11" s="6"/>
      <x:c r="J11" s="6"/>
      <x:c r="K11" s="1"/>
      <x:c r="L11" s="1"/>
      <x:c r="M11" s="1"/>
    </x:row>
    <x:row r="12" ht="22" customHeight="1">
      <x:c r="A12" s="1"/>
      <x:c r="B12" s="1"/>
      <x:c r="C12" s="1" t="str">
        <x:v>Base states</x:v>
      </x:c>
      <x:c r="D12" s="43" t="n">
        <x:v>1</x:v>
      </x:c>
      <x:c r="E12" s="43" t="n">
        <x:v>1</x:v>
      </x:c>
      <x:c r="F12" s="43" t="n">
        <x:v>2</x:v>
      </x:c>
      <x:c r="G12" s="43" t="n">
        <x:v>4</x:v>
      </x:c>
      <x:c r="H12" s="43" t="n">
        <x:v>10</x:v>
      </x:c>
      <x:c r="I12" s="43" t="n">
        <x:v>25</x:v>
      </x:c>
      <x:c r="J12" s="43" t="n">
        <x:v>40</x:v>
      </x:c>
      <x:c r="K12" s="1"/>
      <x:c r="L12" s="1"/>
      <x:c r="M12" s="1"/>
    </x:row>
    <x:row r="13" ht="22" customHeight="1">
      <x:c r="A13" s="1"/>
      <x:c r="B13" s="1"/>
      <x:c r="C13" s="1" t="str">
        <x:v>Downside states</x:v>
      </x:c>
      <x:c r="D13" s="43" t="n">
        <x:v>1</x:v>
      </x:c>
      <x:c r="E13" s="43" t="n">
        <x:v>1</x:v>
      </x:c>
      <x:c r="F13" s="43" t="n">
        <x:v>1</x:v>
      </x:c>
      <x:c r="G13" s="43" t="n">
        <x:v>3</x:v>
      </x:c>
      <x:c r="H13" s="43" t="n">
        <x:v>6</x:v>
      </x:c>
      <x:c r="I13" s="43" t="n">
        <x:v>12</x:v>
      </x:c>
      <x:c r="J13" s="43" t="n">
        <x:v>25</x:v>
      </x:c>
      <x:c r="K13" s="1"/>
      <x:c r="L13" s="1"/>
      <x:c r="M13" s="1"/>
    </x:row>
    <x:row r="14" ht="22" customHeight="1">
      <x:c r="A14" s="1"/>
      <x:c r="B14" s="1"/>
      <x:c r="C14" s="1" t="str">
        <x:v>Upside states</x:v>
      </x:c>
      <x:c r="D14" s="43" t="n">
        <x:v>1</x:v>
      </x:c>
      <x:c r="E14" s="43" t="n">
        <x:v>2</x:v>
      </x:c>
      <x:c r="F14" s="43" t="n">
        <x:v>4</x:v>
      </x:c>
      <x:c r="G14" s="43" t="n">
        <x:v>8</x:v>
      </x:c>
      <x:c r="H14" s="43" t="n">
        <x:v>18</x:v>
      </x:c>
      <x:c r="I14" s="43" t="n">
        <x:v>35</x:v>
      </x:c>
      <x:c r="J14" s="43" t="n">
        <x:v>48</x:v>
      </x:c>
      <x:c r="K14" s="1"/>
      <x:c r="L14" s="1"/>
      <x:c r="M14" s="1"/>
    </x:row>
    <x:row r="15" ht="22" customHeight="1">
      <x:c r="A15" s="1"/>
      <x:c r="B15" s="1"/>
      <x:c r="C15" s="4" t="str">
        <x:v>Active states / selected case</x:v>
      </x:c>
      <x:c r="D15" s="53" t="n">
        <x:f>IF('Assumptions'!$D$3="Base",D12,IF('Assumptions'!$D$3="Downside",D13,D14))</x:f>
        <x:v>1</x:v>
      </x:c>
      <x:c r="E15" s="53" t="n">
        <x:f>IF('Assumptions'!$D$3="Base",E12,IF('Assumptions'!$D$3="Downside",E13,E14))</x:f>
        <x:v>1</x:v>
      </x:c>
      <x:c r="F15" s="53" t="n">
        <x:f>IF('Assumptions'!$D$3="Base",F12,IF('Assumptions'!$D$3="Downside",F13,F14))</x:f>
        <x:v>2</x:v>
      </x:c>
      <x:c r="G15" s="53" t="n">
        <x:f>IF('Assumptions'!$D$3="Base",G12,IF('Assumptions'!$D$3="Downside",G13,G14))</x:f>
        <x:v>4</x:v>
      </x:c>
      <x:c r="H15" s="53" t="n">
        <x:f>IF('Assumptions'!$D$3="Base",H12,IF('Assumptions'!$D$3="Downside",H13,H14))</x:f>
        <x:v>10</x:v>
      </x:c>
      <x:c r="I15" s="53" t="n">
        <x:f>IF('Assumptions'!$D$3="Base",I12,IF('Assumptions'!$D$3="Downside",I13,I14))</x:f>
        <x:v>25</x:v>
      </x:c>
      <x:c r="J15" s="53" t="n">
        <x:f>IF('Assumptions'!$D$3="Base",J12,IF('Assumptions'!$D$3="Downside",J13,J14))</x:f>
        <x:v>40</x:v>
      </x:c>
      <x:c r="K15" s="1"/>
      <x:c r="L15" s="1"/>
      <x:c r="M15" s="1"/>
    </x:row>
    <x:row r="16" ht="22" customHeight="1">
      <x:c r="A16" s="1"/>
      <x:c r="B16" s="1"/>
      <x:c r="C16" s="1"/>
      <x:c r="D16" s="6"/>
      <x:c r="E16" s="6"/>
      <x:c r="F16" s="6"/>
      <x:c r="G16" s="6"/>
      <x:c r="H16" s="6"/>
      <x:c r="I16" s="6"/>
      <x:c r="J16" s="6"/>
      <x:c r="K16" s="1"/>
      <x:c r="L16" s="1"/>
      <x:c r="M16" s="1"/>
    </x:row>
    <x:row r="17" ht="22" customHeight="1">
      <x:c r="A17" s="1"/>
      <x:c r="B17" s="1"/>
      <x:c r="C17" s="1" t="str">
        <x:v>Base metro clusters</x:v>
      </x:c>
      <x:c r="D17" s="43" t="n">
        <x:v>1</x:v>
      </x:c>
      <x:c r="E17" s="43" t="n">
        <x:v>1</x:v>
      </x:c>
      <x:c r="F17" s="43" t="n">
        <x:v>3</x:v>
      </x:c>
      <x:c r="G17" s="43" t="n">
        <x:v>6</x:v>
      </x:c>
      <x:c r="H17" s="43" t="n">
        <x:v>14</x:v>
      </x:c>
      <x:c r="I17" s="43" t="n">
        <x:v>30</x:v>
      </x:c>
      <x:c r="J17" s="43" t="n">
        <x:v>50</x:v>
      </x:c>
      <x:c r="K17" s="1"/>
      <x:c r="L17" s="1"/>
      <x:c r="M17" s="1"/>
    </x:row>
    <x:row r="18" ht="22" customHeight="1">
      <x:c r="A18" s="1"/>
      <x:c r="B18" s="1"/>
      <x:c r="C18" s="1" t="str">
        <x:v>Downside metro clusters</x:v>
      </x:c>
      <x:c r="D18" s="43" t="n">
        <x:v>1</x:v>
      </x:c>
      <x:c r="E18" s="43" t="n">
        <x:v>1</x:v>
      </x:c>
      <x:c r="F18" s="43" t="n">
        <x:v>2</x:v>
      </x:c>
      <x:c r="G18" s="43" t="n">
        <x:v>4</x:v>
      </x:c>
      <x:c r="H18" s="43" t="n">
        <x:v>9</x:v>
      </x:c>
      <x:c r="I18" s="43" t="n">
        <x:v>18</x:v>
      </x:c>
      <x:c r="J18" s="43" t="n">
        <x:v>32</x:v>
      </x:c>
      <x:c r="K18" s="1"/>
      <x:c r="L18" s="1"/>
      <x:c r="M18" s="1"/>
    </x:row>
    <x:row r="19" ht="22" customHeight="1">
      <x:c r="A19" s="1"/>
      <x:c r="B19" s="1"/>
      <x:c r="C19" s="1" t="str">
        <x:v>Upside metro clusters</x:v>
      </x:c>
      <x:c r="D19" s="43" t="n">
        <x:v>1</x:v>
      </x:c>
      <x:c r="E19" s="43" t="n">
        <x:v>2</x:v>
      </x:c>
      <x:c r="F19" s="43" t="n">
        <x:v>5</x:v>
      </x:c>
      <x:c r="G19" s="43" t="n">
        <x:v>10</x:v>
      </x:c>
      <x:c r="H19" s="43" t="n">
        <x:v>22</x:v>
      </x:c>
      <x:c r="I19" s="43" t="n">
        <x:v>45</x:v>
      </x:c>
      <x:c r="J19" s="43" t="n">
        <x:v>70</x:v>
      </x:c>
      <x:c r="K19" s="1"/>
      <x:c r="L19" s="1"/>
      <x:c r="M19" s="1"/>
    </x:row>
    <x:row r="20" ht="22" customHeight="1">
      <x:c r="A20" s="1"/>
      <x:c r="B20" s="1"/>
      <x:c r="C20" s="4" t="str">
        <x:v>Active metro clusters / selected case</x:v>
      </x:c>
      <x:c r="D20" s="53" t="n">
        <x:f>IF('Assumptions'!$D$3="Base",D17,IF('Assumptions'!$D$3="Downside",D18,D19))</x:f>
        <x:v>1</x:v>
      </x:c>
      <x:c r="E20" s="53" t="n">
        <x:f>IF('Assumptions'!$D$3="Base",E17,IF('Assumptions'!$D$3="Downside",E18,E19))</x:f>
        <x:v>1</x:v>
      </x:c>
      <x:c r="F20" s="53" t="n">
        <x:f>IF('Assumptions'!$D$3="Base",F17,IF('Assumptions'!$D$3="Downside",F18,F19))</x:f>
        <x:v>3</x:v>
      </x:c>
      <x:c r="G20" s="53" t="n">
        <x:f>IF('Assumptions'!$D$3="Base",G17,IF('Assumptions'!$D$3="Downside",G18,G19))</x:f>
        <x:v>6</x:v>
      </x:c>
      <x:c r="H20" s="53" t="n">
        <x:f>IF('Assumptions'!$D$3="Base",H17,IF('Assumptions'!$D$3="Downside",H18,H19))</x:f>
        <x:v>14</x:v>
      </x:c>
      <x:c r="I20" s="53" t="n">
        <x:f>IF('Assumptions'!$D$3="Base",I17,IF('Assumptions'!$D$3="Downside",I18,I19))</x:f>
        <x:v>30</x:v>
      </x:c>
      <x:c r="J20" s="53" t="n">
        <x:f>IF('Assumptions'!$D$3="Base",J17,IF('Assumptions'!$D$3="Downside",J18,J19))</x:f>
        <x:v>50</x:v>
      </x:c>
      <x:c r="K20" s="1"/>
      <x:c r="L20" s="1"/>
      <x:c r="M20" s="1"/>
    </x:row>
    <x:row r="21" ht="22" customHeight="1">
      <x:c r="A21" s="1"/>
      <x:c r="B21" s="1"/>
      <x:c r="C21" s="1"/>
      <x:c r="D21" s="6"/>
      <x:c r="E21" s="6"/>
      <x:c r="F21" s="6"/>
      <x:c r="G21" s="6"/>
      <x:c r="H21" s="6"/>
      <x:c r="I21" s="6"/>
      <x:c r="J21" s="6"/>
      <x:c r="K21" s="1"/>
      <x:c r="L21" s="1"/>
      <x:c r="M21" s="1"/>
    </x:row>
    <x:row r="22" ht="22" customHeight="1">
      <x:c r="A22" s="1"/>
      <x:c r="B22" s="1"/>
      <x:c r="C22" s="1"/>
      <x:c r="D22" s="6"/>
      <x:c r="E22" s="6"/>
      <x:c r="F22" s="6"/>
      <x:c r="G22" s="6"/>
      <x:c r="H22" s="6"/>
      <x:c r="I22" s="6"/>
      <x:c r="J22" s="6"/>
      <x:c r="K22" s="1"/>
      <x:c r="L22" s="1"/>
      <x:c r="M22" s="1"/>
    </x:row>
    <x:row r="23" ht="22" customHeight="1">
      <x:c r="A23" s="1"/>
      <x:c r="B23" s="1"/>
      <x:c r="C23" s="5" t="str">
        <x:v>Cohort ramp / active households per service area by age</x:v>
      </x:c>
      <x:c r="D23" s="26"/>
      <x:c r="E23" s="26"/>
      <x:c r="F23" s="26"/>
      <x:c r="G23" s="26"/>
      <x:c r="H23" s="26"/>
      <x:c r="I23" s="26"/>
      <x:c r="J23" s="26"/>
      <x:c r="K23" s="1"/>
      <x:c r="L23" s="1"/>
      <x:c r="M23" s="1"/>
    </x:row>
    <x:row r="24" ht="22" customHeight="1">
      <x:c r="A24" s="1"/>
      <x:c r="B24" s="1"/>
      <x:c r="C24" s="1" t="str">
        <x:v>Age 1 active households / area</x:v>
      </x:c>
      <x:c r="D24" s="46" t="n">
        <x:v>240</x:v>
      </x:c>
      <x:c r="E24" s="6"/>
      <x:c r="F24" s="6"/>
      <x:c r="G24" s="6"/>
      <x:c r="H24" s="6"/>
      <x:c r="I24" s="6"/>
      <x:c r="J24" s="6"/>
      <x:c r="K24" s="1"/>
      <x:c r="L24" s="1"/>
      <x:c r="M24" s="1"/>
    </x:row>
    <x:row r="25" ht="22" customHeight="1">
      <x:c r="A25" s="1"/>
      <x:c r="B25" s="1"/>
      <x:c r="C25" s="1" t="str">
        <x:v>Age 2 active households / area</x:v>
      </x:c>
      <x:c r="D25" s="46" t="n">
        <x:v>550</x:v>
      </x:c>
      <x:c r="E25" s="6"/>
      <x:c r="F25" s="6"/>
      <x:c r="G25" s="6"/>
      <x:c r="H25" s="6"/>
      <x:c r="I25" s="6"/>
      <x:c r="J25" s="6"/>
      <x:c r="K25" s="1"/>
      <x:c r="L25" s="1"/>
      <x:c r="M25" s="1"/>
    </x:row>
    <x:row r="26" ht="22" customHeight="1">
      <x:c r="A26" s="1"/>
      <x:c r="B26" s="1"/>
      <x:c r="C26" s="1" t="str">
        <x:v>Age 3 active households / area</x:v>
      </x:c>
      <x:c r="D26" s="46" t="n">
        <x:v>850</x:v>
      </x:c>
      <x:c r="E26" s="6"/>
      <x:c r="F26" s="6"/>
      <x:c r="G26" s="6"/>
      <x:c r="H26" s="6"/>
      <x:c r="I26" s="6"/>
      <x:c r="J26" s="6"/>
      <x:c r="K26" s="1"/>
      <x:c r="L26" s="1"/>
      <x:c r="M26" s="1"/>
    </x:row>
    <x:row r="27" ht="22" customHeight="1">
      <x:c r="A27" s="1"/>
      <x:c r="B27" s="1"/>
      <x:c r="C27" s="1" t="str">
        <x:v>Age 4 active households / area</x:v>
      </x:c>
      <x:c r="D27" s="46" t="n">
        <x:v>1100</x:v>
      </x:c>
      <x:c r="E27" s="6"/>
      <x:c r="F27" s="6"/>
      <x:c r="G27" s="6"/>
      <x:c r="H27" s="6"/>
      <x:c r="I27" s="6"/>
      <x:c r="J27" s="6"/>
      <x:c r="K27" s="1"/>
      <x:c r="L27" s="1"/>
      <x:c r="M27" s="1"/>
    </x:row>
    <x:row r="28" ht="22" customHeight="1">
      <x:c r="A28" s="1"/>
      <x:c r="B28" s="1"/>
      <x:c r="C28" s="1" t="str">
        <x:v>Age 5 active households / area</x:v>
      </x:c>
      <x:c r="D28" s="46" t="n">
        <x:v>1300</x:v>
      </x:c>
      <x:c r="E28" s="6"/>
      <x:c r="F28" s="6"/>
      <x:c r="G28" s="6"/>
      <x:c r="H28" s="6"/>
      <x:c r="I28" s="6"/>
      <x:c r="J28" s="6"/>
      <x:c r="K28" s="1"/>
      <x:c r="L28" s="1"/>
      <x:c r="M28" s="1"/>
    </x:row>
    <x:row r="29" ht="22" customHeight="1">
      <x:c r="A29" s="1"/>
      <x:c r="B29" s="1"/>
      <x:c r="C29" s="1" t="str">
        <x:v>Age 6 active households / area</x:v>
      </x:c>
      <x:c r="D29" s="46" t="n">
        <x:v>1450</x:v>
      </x:c>
      <x:c r="E29" s="6"/>
      <x:c r="F29" s="6"/>
      <x:c r="G29" s="6"/>
      <x:c r="H29" s="6"/>
      <x:c r="I29" s="6"/>
      <x:c r="J29" s="6"/>
      <x:c r="K29" s="1"/>
      <x:c r="L29" s="1"/>
      <x:c r="M29" s="1"/>
    </x:row>
    <x:row r="30" ht="22" customHeight="1">
      <x:c r="A30" s="1"/>
      <x:c r="B30" s="1"/>
      <x:c r="C30" s="1" t="str">
        <x:v>Age 7 active households / area</x:v>
      </x:c>
      <x:c r="D30" s="46" t="n">
        <x:v>1550</x:v>
      </x:c>
      <x:c r="E30" s="6"/>
      <x:c r="F30" s="6"/>
      <x:c r="G30" s="6"/>
      <x:c r="H30" s="6"/>
      <x:c r="I30" s="6"/>
      <x:c r="J30" s="6"/>
      <x:c r="K30" s="1"/>
      <x:c r="L30" s="1"/>
      <x:c r="M30" s="1"/>
    </x:row>
    <x:row r="31" ht="22" customHeight="1">
      <x:c r="A31" s="1"/>
      <x:c r="B31" s="1"/>
      <x:c r="C31" s="1"/>
      <x:c r="D31" s="6"/>
      <x:c r="E31" s="6"/>
      <x:c r="F31" s="6"/>
      <x:c r="G31" s="6"/>
      <x:c r="H31" s="6"/>
      <x:c r="I31" s="6"/>
      <x:c r="J31" s="6"/>
      <x:c r="K31" s="1"/>
      <x:c r="L31" s="1"/>
      <x:c r="M31" s="1"/>
    </x:row>
    <x:row r="32" ht="22" customHeight="1">
      <x:c r="A32" s="1"/>
      <x:c r="B32" s="1"/>
      <x:c r="C32" s="32" t="str">
        <x:v>A service area may be one municipality, several small neighboring municipalities, or a group of suburban neighborhoods. Cohorts open during the year. Age 1 represents an initial partial season; full maturity requires multiple seasons.</x:v>
      </x:c>
      <x:c r="D32" s="33"/>
      <x:c r="E32" s="33"/>
      <x:c r="F32" s="33"/>
      <x:c r="G32" s="33"/>
      <x:c r="H32" s="33"/>
      <x:c r="I32" s="33"/>
      <x:c r="J32" s="33"/>
      <x:c r="K32" s="1"/>
      <x:c r="L32" s="1"/>
      <x:c r="M32" s="1"/>
    </x:row>
    <x:row r="33" ht="22" customHeight="1">
      <x:c r="A33" s="1"/>
      <x:c r="B33" s="1"/>
      <x:c r="C33" s="32"/>
      <x:c r="D33" s="33"/>
      <x:c r="E33" s="33"/>
      <x:c r="F33" s="33"/>
      <x:c r="G33" s="33"/>
      <x:c r="H33" s="33"/>
      <x:c r="I33" s="33"/>
      <x:c r="J33" s="33"/>
      <x:c r="K33" s="1"/>
      <x:c r="L33" s="1"/>
      <x:c r="M33" s="1"/>
    </x:row>
    <x:row r="34" ht="22" customHeight="1">
      <x:c r="A34" s="1"/>
      <x:c r="B34" s="1"/>
      <x:c r="C34" s="1"/>
      <x:c r="D34" s="6"/>
      <x:c r="E34" s="6"/>
      <x:c r="F34" s="6"/>
      <x:c r="G34" s="6"/>
      <x:c r="H34" s="6"/>
      <x:c r="I34" s="6"/>
      <x:c r="J34" s="6"/>
      <x:c r="K34" s="1"/>
      <x:c r="L34" s="1"/>
      <x:c r="M34" s="1"/>
    </x:row>
    <x:row r="35" ht="22" customHeight="1">
      <x:c r="A35" s="1"/>
      <x:c r="B35" s="1"/>
      <x:c r="C35" s="1"/>
      <x:c r="D35" s="6"/>
      <x:c r="E35" s="6"/>
      <x:c r="F35" s="6"/>
      <x:c r="G35" s="6"/>
      <x:c r="H35" s="6"/>
      <x:c r="I35" s="6"/>
      <x:c r="J35" s="6"/>
      <x:c r="K35" s="1"/>
      <x:c r="L35" s="1"/>
      <x:c r="M35" s="1"/>
    </x:row>
    <x:row r="36" ht="22" customHeight="1">
      <x:c r="A36" s="1"/>
      <x:c r="B36" s="1"/>
      <x:c r="C36" s="5" t="str">
        <x:v>Operating assumptions / editable</x:v>
      </x:c>
      <x:c r="D36" s="26"/>
      <x:c r="E36" s="26"/>
      <x:c r="F36" s="26"/>
      <x:c r="G36" s="26"/>
      <x:c r="H36" s="26"/>
      <x:c r="I36" s="26"/>
      <x:c r="J36" s="26"/>
      <x:c r="K36" s="1"/>
      <x:c r="L36" s="1"/>
      <x:c r="M36" s="1"/>
    </x:row>
    <x:row r="37" ht="22" customHeight="1">
      <x:c r="A37" s="1"/>
      <x:c r="B37" s="1"/>
      <x:c r="C37" s="1" t="str">
        <x:v>Base customer CAC</x:v>
      </x:c>
      <x:c r="D37" s="23" t="n">
        <x:v>55</x:v>
      </x:c>
      <x:c r="E37" s="23" t="n">
        <x:v>50</x:v>
      </x:c>
      <x:c r="F37" s="23" t="n">
        <x:v>45</x:v>
      </x:c>
      <x:c r="G37" s="23" t="n">
        <x:v>40</x:v>
      </x:c>
      <x:c r="H37" s="23" t="n">
        <x:v>35</x:v>
      </x:c>
      <x:c r="I37" s="23" t="n">
        <x:v>32</x:v>
      </x:c>
      <x:c r="J37" s="23" t="n">
        <x:v>30</x:v>
      </x:c>
      <x:c r="K37" s="1"/>
      <x:c r="L37" s="1"/>
      <x:c r="M37" s="1"/>
    </x:row>
    <x:row r="38" ht="22" customHeight="1">
      <x:c r="A38" s="1"/>
      <x:c r="B38" s="1"/>
      <x:c r="C38" s="1" t="str">
        <x:v>Downside customer CAC</x:v>
      </x:c>
      <x:c r="D38" s="23" t="n">
        <x:v>70</x:v>
      </x:c>
      <x:c r="E38" s="23" t="n">
        <x:v>65</x:v>
      </x:c>
      <x:c r="F38" s="23" t="n">
        <x:v>60</x:v>
      </x:c>
      <x:c r="G38" s="23" t="n">
        <x:v>55</x:v>
      </x:c>
      <x:c r="H38" s="23" t="n">
        <x:v>50</x:v>
      </x:c>
      <x:c r="I38" s="23" t="n">
        <x:v>45</x:v>
      </x:c>
      <x:c r="J38" s="23" t="n">
        <x:v>40</x:v>
      </x:c>
      <x:c r="K38" s="1"/>
      <x:c r="L38" s="1"/>
      <x:c r="M38" s="1"/>
    </x:row>
    <x:row r="39" ht="22" customHeight="1">
      <x:c r="A39" s="1"/>
      <x:c r="B39" s="1"/>
      <x:c r="C39" s="1" t="str">
        <x:v>Upside customer CAC</x:v>
      </x:c>
      <x:c r="D39" s="23" t="n">
        <x:v>45</x:v>
      </x:c>
      <x:c r="E39" s="23" t="n">
        <x:v>40</x:v>
      </x:c>
      <x:c r="F39" s="23" t="n">
        <x:v>35</x:v>
      </x:c>
      <x:c r="G39" s="23" t="n">
        <x:v>32</x:v>
      </x:c>
      <x:c r="H39" s="23" t="n">
        <x:v>28</x:v>
      </x:c>
      <x:c r="I39" s="23" t="n">
        <x:v>25</x:v>
      </x:c>
      <x:c r="J39" s="23" t="n">
        <x:v>22</x:v>
      </x:c>
      <x:c r="K39" s="1"/>
      <x:c r="L39" s="1"/>
      <x:c r="M39" s="1"/>
    </x:row>
    <x:row r="40" ht="22" customHeight="1">
      <x:c r="A40" s="1"/>
      <x:c r="B40" s="1"/>
      <x:c r="C40" s="1" t="str">
        <x:v>Customer CAC / selected case</x:v>
      </x:c>
      <x:c r="D40" s="50" t="n">
        <x:f>IF('Assumptions'!$D$3="Base",D37,IF('Assumptions'!$D$3="Downside",D38,D39))</x:f>
        <x:v>55</x:v>
      </x:c>
      <x:c r="E40" s="50" t="n">
        <x:f>IF('Assumptions'!$D$3="Base",E37,IF('Assumptions'!$D$3="Downside",E38,E39))</x:f>
        <x:v>50</x:v>
      </x:c>
      <x:c r="F40" s="50" t="n">
        <x:f>IF('Assumptions'!$D$3="Base",F37,IF('Assumptions'!$D$3="Downside",F38,F39))</x:f>
        <x:v>45</x:v>
      </x:c>
      <x:c r="G40" s="50" t="n">
        <x:f>IF('Assumptions'!$D$3="Base",G37,IF('Assumptions'!$D$3="Downside",G38,G39))</x:f>
        <x:v>40</x:v>
      </x:c>
      <x:c r="H40" s="50" t="n">
        <x:f>IF('Assumptions'!$D$3="Base",H37,IF('Assumptions'!$D$3="Downside",H38,H39))</x:f>
        <x:v>35</x:v>
      </x:c>
      <x:c r="I40" s="50" t="n">
        <x:f>IF('Assumptions'!$D$3="Base",I37,IF('Assumptions'!$D$3="Downside",I38,I39))</x:f>
        <x:v>32</x:v>
      </x:c>
      <x:c r="J40" s="50" t="n">
        <x:f>IF('Assumptions'!$D$3="Base",J37,IF('Assumptions'!$D$3="Downside",J38,J39))</x:f>
        <x:v>30</x:v>
      </x:c>
      <x:c r="K40" s="1"/>
      <x:c r="L40" s="1"/>
      <x:c r="M40" s="1"/>
    </x:row>
    <x:row r="41" ht="22" customHeight="1">
      <x:c r="A41" s="1"/>
      <x:c r="B41" s="1"/>
      <x:c r="C41" s="1"/>
      <x:c r="D41" s="6"/>
      <x:c r="E41" s="6"/>
      <x:c r="F41" s="6"/>
      <x:c r="G41" s="6"/>
      <x:c r="H41" s="6"/>
      <x:c r="I41" s="6"/>
      <x:c r="J41" s="6"/>
      <x:c r="K41" s="1"/>
      <x:c r="L41" s="1"/>
      <x:c r="M41" s="1"/>
    </x:row>
    <x:row r="42" ht="22" customHeight="1">
      <x:c r="A42" s="1"/>
      <x:c r="B42" s="1"/>
      <x:c r="C42" s="1" t="str">
        <x:v>Base paid employees</x:v>
      </x:c>
      <x:c r="D42" s="43" t="n">
        <x:v>3</x:v>
      </x:c>
      <x:c r="E42" s="43" t="n">
        <x:v>5</x:v>
      </x:c>
      <x:c r="F42" s="43" t="n">
        <x:v>8</x:v>
      </x:c>
      <x:c r="G42" s="43" t="n">
        <x:v>15</x:v>
      </x:c>
      <x:c r="H42" s="43" t="n">
        <x:v>25</x:v>
      </x:c>
      <x:c r="I42" s="43" t="n">
        <x:v>40</x:v>
      </x:c>
      <x:c r="J42" s="43" t="n">
        <x:v>60</x:v>
      </x:c>
      <x:c r="K42" s="1"/>
      <x:c r="L42" s="1"/>
      <x:c r="M42" s="1"/>
    </x:row>
    <x:row r="43" ht="22" customHeight="1">
      <x:c r="A43" s="1"/>
      <x:c r="B43" s="1"/>
      <x:c r="C43" s="1" t="str">
        <x:v>Downside paid employees</x:v>
      </x:c>
      <x:c r="D43" s="43" t="n">
        <x:v>3</x:v>
      </x:c>
      <x:c r="E43" s="43" t="n">
        <x:v>4</x:v>
      </x:c>
      <x:c r="F43" s="43" t="n">
        <x:v>7</x:v>
      </x:c>
      <x:c r="G43" s="43" t="n">
        <x:v>12</x:v>
      </x:c>
      <x:c r="H43" s="43" t="n">
        <x:v>20</x:v>
      </x:c>
      <x:c r="I43" s="43" t="n">
        <x:v>32</x:v>
      </x:c>
      <x:c r="J43" s="43" t="n">
        <x:v>48</x:v>
      </x:c>
      <x:c r="K43" s="1"/>
      <x:c r="L43" s="1"/>
      <x:c r="M43" s="1"/>
    </x:row>
    <x:row r="44" ht="22" customHeight="1">
      <x:c r="A44" s="1"/>
      <x:c r="B44" s="1"/>
      <x:c r="C44" s="1" t="str">
        <x:v>Upside paid employees</x:v>
      </x:c>
      <x:c r="D44" s="43" t="n">
        <x:v>3</x:v>
      </x:c>
      <x:c r="E44" s="43" t="n">
        <x:v>6</x:v>
      </x:c>
      <x:c r="F44" s="43" t="n">
        <x:v>10</x:v>
      </x:c>
      <x:c r="G44" s="43" t="n">
        <x:v>18</x:v>
      </x:c>
      <x:c r="H44" s="43" t="n">
        <x:v>32</x:v>
      </x:c>
      <x:c r="I44" s="43" t="n">
        <x:v>55</x:v>
      </x:c>
      <x:c r="J44" s="43" t="n">
        <x:v>85</x:v>
      </x:c>
      <x:c r="K44" s="1"/>
      <x:c r="L44" s="1"/>
      <x:c r="M44" s="1"/>
    </x:row>
    <x:row r="45" ht="22" customHeight="1">
      <x:c r="A45" s="1"/>
      <x:c r="B45" s="1"/>
      <x:c r="C45" s="1" t="str">
        <x:v>Paid employees / selected case</x:v>
      </x:c>
      <x:c r="D45" s="49" t="n">
        <x:f>IF('Assumptions'!$D$3="Base",D42,IF('Assumptions'!$D$3="Downside",D43,D44))</x:f>
        <x:v>3</x:v>
      </x:c>
      <x:c r="E45" s="49" t="n">
        <x:f>IF('Assumptions'!$D$3="Base",E42,IF('Assumptions'!$D$3="Downside",E43,E44))</x:f>
        <x:v>5</x:v>
      </x:c>
      <x:c r="F45" s="49" t="n">
        <x:f>IF('Assumptions'!$D$3="Base",F42,IF('Assumptions'!$D$3="Downside",F43,F44))</x:f>
        <x:v>8</x:v>
      </x:c>
      <x:c r="G45" s="49" t="n">
        <x:f>IF('Assumptions'!$D$3="Base",G42,IF('Assumptions'!$D$3="Downside",G43,G44))</x:f>
        <x:v>15</x:v>
      </x:c>
      <x:c r="H45" s="49" t="n">
        <x:f>IF('Assumptions'!$D$3="Base",H42,IF('Assumptions'!$D$3="Downside",H43,H44))</x:f>
        <x:v>25</x:v>
      </x:c>
      <x:c r="I45" s="49" t="n">
        <x:f>IF('Assumptions'!$D$3="Base",I42,IF('Assumptions'!$D$3="Downside",I43,I44))</x:f>
        <x:v>40</x:v>
      </x:c>
      <x:c r="J45" s="49" t="n">
        <x:f>IF('Assumptions'!$D$3="Base",J42,IF('Assumptions'!$D$3="Downside",J43,J44))</x:f>
        <x:v>60</x:v>
      </x:c>
      <x:c r="K45" s="1"/>
      <x:c r="L45" s="1"/>
      <x:c r="M45" s="1"/>
    </x:row>
    <x:row r="46" ht="22" customHeight="1">
      <x:c r="A46" s="1"/>
      <x:c r="B46" s="1"/>
      <x:c r="C46" s="1"/>
      <x:c r="D46" s="6"/>
      <x:c r="E46" s="6"/>
      <x:c r="F46" s="6"/>
      <x:c r="G46" s="6"/>
      <x:c r="H46" s="6"/>
      <x:c r="I46" s="6"/>
      <x:c r="J46" s="6"/>
      <x:c r="K46" s="1"/>
      <x:c r="L46" s="1"/>
      <x:c r="M46" s="1"/>
    </x:row>
    <x:row r="47" ht="22" customHeight="1">
      <x:c r="A47" s="1"/>
      <x:c r="B47" s="1"/>
      <x:c r="C47" s="1" t="str">
        <x:v>Base corporate overhead</x:v>
      </x:c>
      <x:c r="D47" s="23" t="n">
        <x:v>42000</x:v>
      </x:c>
      <x:c r="E47" s="23" t="n">
        <x:v>70000</x:v>
      </x:c>
      <x:c r="F47" s="23" t="n">
        <x:v>120000</x:v>
      </x:c>
      <x:c r="G47" s="23" t="n">
        <x:v>200000</x:v>
      </x:c>
      <x:c r="H47" s="23" t="n">
        <x:v>300000</x:v>
      </x:c>
      <x:c r="I47" s="23" t="n">
        <x:v>420000</x:v>
      </x:c>
      <x:c r="J47" s="23" t="n">
        <x:v>550000</x:v>
      </x:c>
      <x:c r="K47" s="1"/>
      <x:c r="L47" s="1"/>
      <x:c r="M47" s="1"/>
    </x:row>
    <x:row r="48" ht="22" customHeight="1">
      <x:c r="A48" s="1"/>
      <x:c r="B48" s="1"/>
      <x:c r="C48" s="1" t="str">
        <x:v>Downside corporate overhead</x:v>
      </x:c>
      <x:c r="D48" s="23" t="n">
        <x:v>42000</x:v>
      </x:c>
      <x:c r="E48" s="23" t="n">
        <x:v>65000</x:v>
      </x:c>
      <x:c r="F48" s="23" t="n">
        <x:v>100000</x:v>
      </x:c>
      <x:c r="G48" s="23" t="n">
        <x:v>160000</x:v>
      </x:c>
      <x:c r="H48" s="23" t="n">
        <x:v>240000</x:v>
      </x:c>
      <x:c r="I48" s="23" t="n">
        <x:v>340000</x:v>
      </x:c>
      <x:c r="J48" s="23" t="n">
        <x:v>450000</x:v>
      </x:c>
      <x:c r="K48" s="1"/>
      <x:c r="L48" s="1"/>
      <x:c r="M48" s="1"/>
    </x:row>
    <x:row r="49" ht="22" customHeight="1">
      <x:c r="A49" s="1"/>
      <x:c r="B49" s="1"/>
      <x:c r="C49" s="1" t="str">
        <x:v>Upside corporate overhead</x:v>
      </x:c>
      <x:c r="D49" s="23" t="n">
        <x:v>42000</x:v>
      </x:c>
      <x:c r="E49" s="23" t="n">
        <x:v>80000</x:v>
      </x:c>
      <x:c r="F49" s="23" t="n">
        <x:v>140000</x:v>
      </x:c>
      <x:c r="G49" s="23" t="n">
        <x:v>240000</x:v>
      </x:c>
      <x:c r="H49" s="23" t="n">
        <x:v>380000</x:v>
      </x:c>
      <x:c r="I49" s="23" t="n">
        <x:v>550000</x:v>
      </x:c>
      <x:c r="J49" s="23" t="n">
        <x:v>750000</x:v>
      </x:c>
      <x:c r="K49" s="1"/>
      <x:c r="L49" s="1"/>
      <x:c r="M49" s="1"/>
    </x:row>
    <x:row r="50" ht="22" customHeight="1">
      <x:c r="A50" s="1"/>
      <x:c r="B50" s="1"/>
      <x:c r="C50" s="1" t="str">
        <x:v>Corporate overhead / selected case</x:v>
      </x:c>
      <x:c r="D50" s="50" t="n">
        <x:f>IF('Assumptions'!$D$3="Base",D47,IF('Assumptions'!$D$3="Downside",D48,D49))</x:f>
        <x:v>42000</x:v>
      </x:c>
      <x:c r="E50" s="50" t="n">
        <x:f>IF('Assumptions'!$D$3="Base",E47,IF('Assumptions'!$D$3="Downside",E48,E49))</x:f>
        <x:v>70000</x:v>
      </x:c>
      <x:c r="F50" s="50" t="n">
        <x:f>IF('Assumptions'!$D$3="Base",F47,IF('Assumptions'!$D$3="Downside",F48,F49))</x:f>
        <x:v>120000</x:v>
      </x:c>
      <x:c r="G50" s="50" t="n">
        <x:f>IF('Assumptions'!$D$3="Base",G47,IF('Assumptions'!$D$3="Downside",G48,G49))</x:f>
        <x:v>200000</x:v>
      </x:c>
      <x:c r="H50" s="50" t="n">
        <x:f>IF('Assumptions'!$D$3="Base",H47,IF('Assumptions'!$D$3="Downside",H48,H49))</x:f>
        <x:v>300000</x:v>
      </x:c>
      <x:c r="I50" s="50" t="n">
        <x:f>IF('Assumptions'!$D$3="Base",I47,IF('Assumptions'!$D$3="Downside",I48,I49))</x:f>
        <x:v>420000</x:v>
      </x:c>
      <x:c r="J50" s="50" t="n">
        <x:f>IF('Assumptions'!$D$3="Base",J47,IF('Assumptions'!$D$3="Downside",J48,J49))</x:f>
        <x:v>550000</x:v>
      </x:c>
      <x:c r="K50" s="1"/>
      <x:c r="L50" s="1"/>
      <x:c r="M50" s="1"/>
    </x:row>
    <x:row r="51" ht="22" customHeight="1">
      <x:c r="A51" s="1"/>
      <x:c r="B51" s="1"/>
      <x:c r="C51" s="1"/>
      <x:c r="D51" s="6"/>
      <x:c r="E51" s="6"/>
      <x:c r="F51" s="6"/>
      <x:c r="G51" s="6"/>
      <x:c r="H51" s="6"/>
      <x:c r="I51" s="6"/>
      <x:c r="J51" s="6"/>
      <x:c r="K51" s="1"/>
      <x:c r="L51" s="1"/>
      <x:c r="M51" s="1"/>
    </x:row>
    <x:row r="52" ht="22" customHeight="1">
      <x:c r="A52" s="1"/>
      <x:c r="B52" s="1"/>
      <x:c r="C52" s="1" t="str">
        <x:v>Launch spend / new service area</x:v>
      </x:c>
      <x:c r="D52" s="23" t="n">
        <x:v>5000</x:v>
      </x:c>
      <x:c r="E52" s="6"/>
      <x:c r="F52" s="6"/>
      <x:c r="G52" s="6"/>
      <x:c r="H52" s="6"/>
      <x:c r="I52" s="6"/>
      <x:c r="J52" s="6"/>
      <x:c r="K52" s="1"/>
      <x:c r="L52" s="1"/>
      <x:c r="M52" s="1"/>
    </x:row>
    <x:row r="53" ht="22" customHeight="1">
      <x:c r="A53" s="1"/>
      <x:c r="B53" s="1"/>
      <x:c r="C53" s="1" t="str">
        <x:v>Annual coverage / active service area</x:v>
      </x:c>
      <x:c r="D53" s="23" t="n">
        <x:v>2000</x:v>
      </x:c>
      <x:c r="E53" s="6"/>
      <x:c r="F53" s="6"/>
      <x:c r="G53" s="6"/>
      <x:c r="H53" s="6"/>
      <x:c r="I53" s="6"/>
      <x:c r="J53" s="6"/>
      <x:c r="K53" s="1"/>
      <x:c r="L53" s="1"/>
      <x:c r="M53" s="1"/>
    </x:row>
    <x:row r="54" ht="22" customHeight="1">
      <x:c r="A54" s="1"/>
      <x:c r="B54" s="1"/>
      <x:c r="C54" s="1" t="str">
        <x:v>Annual regional operations / metro cluster</x:v>
      </x:c>
      <x:c r="D54" s="23" t="n">
        <x:v>20000</x:v>
      </x:c>
      <x:c r="E54" s="6"/>
      <x:c r="F54" s="6"/>
      <x:c r="G54" s="6"/>
      <x:c r="H54" s="6"/>
      <x:c r="I54" s="6"/>
      <x:c r="J54" s="6"/>
      <x:c r="K54" s="1"/>
      <x:c r="L54" s="1"/>
      <x:c r="M54" s="1"/>
    </x:row>
    <x:row r="55" ht="22" customHeight="1">
      <x:c r="A55" s="1"/>
      <x:c r="B55" s="1"/>
      <x:c r="C55" s="1" t="str">
        <x:v>Equipment / paid employee</x:v>
      </x:c>
      <x:c r="D55" s="23" t="n">
        <x:v>5000</x:v>
      </x:c>
      <x:c r="E55" s="6"/>
      <x:c r="F55" s="6"/>
      <x:c r="G55" s="6"/>
      <x:c r="H55" s="6"/>
      <x:c r="I55" s="6"/>
      <x:c r="J55" s="6"/>
      <x:c r="K55" s="1"/>
      <x:c r="L55" s="1"/>
      <x:c r="M55" s="1"/>
    </x:row>
    <x:row r="56" ht="22" customHeight="1">
      <x:c r="A56" s="1"/>
      <x:c r="B56" s="1"/>
      <x:c r="C56" s="1" t="str">
        <x:v>Households / active provider</x:v>
      </x:c>
      <x:c r="D56" s="46" t="n">
        <x:v>40</x:v>
      </x:c>
      <x:c r="E56" s="6"/>
      <x:c r="F56" s="6"/>
      <x:c r="G56" s="6"/>
      <x:c r="H56" s="6"/>
      <x:c r="I56" s="6"/>
      <x:c r="J56" s="6"/>
      <x:c r="K56" s="1"/>
      <x:c r="L56" s="1"/>
      <x:c r="M56" s="1"/>
    </x:row>
    <x:row r="57" ht="22" customHeight="1">
      <x:c r="A57" s="1"/>
      <x:c r="B57" s="1"/>
      <x:c r="C57" s="1" t="str">
        <x:v>Provider annual retention</x:v>
      </x:c>
      <x:c r="D57" s="17" t="n">
        <x:v>0.85</x:v>
      </x:c>
      <x:c r="E57" s="6"/>
      <x:c r="F57" s="6"/>
      <x:c r="G57" s="6"/>
      <x:c r="H57" s="6"/>
      <x:c r="I57" s="6"/>
      <x:c r="J57" s="6"/>
      <x:c r="K57" s="1"/>
      <x:c r="L57" s="1"/>
      <x:c r="M57" s="1"/>
    </x:row>
    <x:row r="58" ht="22" customHeight="1">
      <x:c r="A58" s="1"/>
      <x:c r="B58" s="1"/>
      <x:c r="C58" s="1" t="str">
        <x:v>Welcome finder waivers / new provider</x:v>
      </x:c>
      <x:c r="D58" s="43" t="n">
        <x:v>1</x:v>
      </x:c>
      <x:c r="E58" s="6"/>
      <x:c r="F58" s="6"/>
      <x:c r="G58" s="6"/>
      <x:c r="H58" s="6"/>
      <x:c r="I58" s="6"/>
      <x:c r="J58" s="6"/>
      <x:c r="K58" s="1"/>
      <x:c r="L58" s="1"/>
      <x:c r="M58" s="1"/>
    </x:row>
    <x:row r="59" ht="22" customHeight="1">
      <x:c r="A59" s="1"/>
      <x:c r="B59" s="1"/>
      <x:c r="C59" s="1" t="str">
        <x:v>Typical-property share of new relationships</x:v>
      </x:c>
      <x:c r="D59" s="17" t="n">
        <x:v>0.65</x:v>
      </x:c>
      <x:c r="E59" s="6"/>
      <x:c r="F59" s="6"/>
      <x:c r="G59" s="6"/>
      <x:c r="H59" s="6"/>
      <x:c r="I59" s="6"/>
      <x:c r="J59" s="6"/>
      <x:c r="K59" s="1"/>
      <x:c r="L59" s="1"/>
      <x:c r="M59" s="1"/>
    </x:row>
    <x:row r="60" ht="22" customHeight="1">
      <x:c r="A60" s="1"/>
      <x:c r="B60" s="1"/>
      <x:c r="C60" s="1" t="str">
        <x:v>Large-property share of new relationships</x:v>
      </x:c>
      <x:c r="D60" s="17" t="n">
        <x:v>0.25</x:v>
      </x:c>
      <x:c r="E60" s="6"/>
      <x:c r="F60" s="6"/>
      <x:c r="G60" s="6"/>
      <x:c r="H60" s="6"/>
      <x:c r="I60" s="6"/>
      <x:c r="J60" s="6"/>
      <x:c r="K60" s="1"/>
      <x:c r="L60" s="1"/>
      <x:c r="M60" s="1"/>
    </x:row>
    <x:row r="61" ht="22" customHeight="1">
      <x:c r="A61" s="1"/>
      <x:c r="B61" s="1"/>
      <x:c r="C61" s="1" t="str">
        <x:v>Very-large-property share of new relationships</x:v>
      </x:c>
      <x:c r="D61" s="17" t="n">
        <x:v>0.1</x:v>
      </x:c>
      <x:c r="E61" s="6"/>
      <x:c r="F61" s="6"/>
      <x:c r="G61" s="6"/>
      <x:c r="H61" s="6"/>
      <x:c r="I61" s="6"/>
      <x:c r="J61" s="6"/>
      <x:c r="K61" s="1"/>
      <x:c r="L61" s="1"/>
      <x:c r="M61" s="1"/>
    </x:row>
    <x:row r="62" ht="22" customHeight="1">
      <x:c r="A62" s="1"/>
      <x:c r="B62" s="1"/>
      <x:c r="C62" s="1"/>
      <x:c r="D62" s="6"/>
      <x:c r="E62" s="6"/>
      <x:c r="F62" s="6"/>
      <x:c r="G62" s="6"/>
      <x:c r="H62" s="6"/>
      <x:c r="I62" s="6"/>
      <x:c r="J62" s="6"/>
      <x:c r="K62" s="1"/>
      <x:c r="L62" s="1"/>
      <x:c r="M62" s="1"/>
    </x:row>
    <x:row r="63" ht="22" customHeight="1">
      <x:c r="A63" s="1"/>
      <x:c r="B63" s="1"/>
      <x:c r="C63" s="1"/>
      <x:c r="D63" s="6"/>
      <x:c r="E63" s="6"/>
      <x:c r="F63" s="6"/>
      <x:c r="G63" s="6"/>
      <x:c r="H63" s="6"/>
      <x:c r="I63" s="6"/>
      <x:c r="J63" s="6"/>
      <x:c r="K63" s="1"/>
      <x:c r="L63" s="1"/>
      <x:c r="M63" s="1"/>
    </x:row>
    <x:row r="64" ht="22" customHeight="1">
      <x:c r="A64" s="1"/>
      <x:c r="B64" s="1"/>
      <x:c r="C64" s="5" t="str">
        <x:v>National cohort forecast</x:v>
      </x:c>
      <x:c r="D64" s="26"/>
      <x:c r="E64" s="26"/>
      <x:c r="F64" s="26"/>
      <x:c r="G64" s="26"/>
      <x:c r="H64" s="26"/>
      <x:c r="I64" s="26"/>
      <x:c r="J64" s="26"/>
      <x:c r="K64" s="1"/>
      <x:c r="L64" s="1"/>
      <x:c r="M64" s="1"/>
    </x:row>
    <x:row r="65" ht="22" customHeight="1">
      <x:c r="A65" s="1"/>
      <x:c r="B65" s="1"/>
      <x:c r="C65" s="1" t="str">
        <x:v>New service areas</x:v>
      </x:c>
      <x:c r="D65" s="11" t="n">
        <x:f>D10-0</x:f>
        <x:v>1</x:v>
      </x:c>
      <x:c r="E65" s="11" t="n">
        <x:f>E10-D10</x:f>
        <x:v>5</x:v>
      </x:c>
      <x:c r="F65" s="11" t="n">
        <x:f>F10-E10</x:f>
        <x:v>19</x:v>
      </x:c>
      <x:c r="G65" s="11" t="n">
        <x:f>G10-F10</x:f>
        <x:v>45</x:v>
      </x:c>
      <x:c r="H65" s="11" t="n">
        <x:f>H10-G10</x:f>
        <x:v>105</x:v>
      </x:c>
      <x:c r="I65" s="11" t="n">
        <x:f>I10-H10</x:f>
        <x:v>225</x:v>
      </x:c>
      <x:c r="J65" s="11" t="n">
        <x:f>J10-I10</x:f>
        <x:v>350</x:v>
      </x:c>
      <x:c r="K65" s="1"/>
      <x:c r="L65" s="1"/>
      <x:c r="M65" s="1"/>
    </x:row>
    <x:row r="66" ht="22" customHeight="1">
      <x:c r="A66" s="1"/>
      <x:c r="B66" s="1"/>
      <x:c r="C66" s="1" t="str">
        <x:v>Opening active households</x:v>
      </x:c>
      <x:c r="D66" s="11" t="n">
        <x:f>0</x:f>
        <x:v>0</x:v>
      </x:c>
      <x:c r="E66" s="11" t="n">
        <x:f>D69</x:f>
        <x:v>240</x:v>
      </x:c>
      <x:c r="F66" s="11" t="n">
        <x:f>E69</x:f>
        <x:v>1750</x:v>
      </x:c>
      <x:c r="G66" s="11" t="n">
        <x:f>F69</x:f>
        <x:v>8160</x:v>
      </x:c>
      <x:c r="H66" s="11" t="n">
        <x:f>G69</x:f>
        <x:v>26600</x:v>
      </x:c>
      <x:c r="I66" s="11" t="n">
        <x:f>H69</x:f>
        <x:v>72900</x:v>
      </x:c>
      <x:c r="J66" s="11" t="n">
        <x:f>I69</x:f>
        <x:v>178850</x:v>
      </x:c>
      <x:c r="K66" s="1"/>
      <x:c r="L66" s="1"/>
      <x:c r="M66" s="1"/>
    </x:row>
    <x:row r="67" ht="22" customHeight="1">
      <x:c r="A67" s="1"/>
      <x:c r="B67" s="1"/>
      <x:c r="C67" s="1" t="str">
        <x:v>Retained households</x:v>
      </x:c>
      <x:c r="D67" s="49" t="n">
        <x:f>0*'Assumptions'!D12</x:f>
        <x:v>0</x:v>
      </x:c>
      <x:c r="E67" s="49" t="n">
        <x:f>D69*'Assumptions'!E12</x:f>
        <x:v>168</x:v>
      </x:c>
      <x:c r="F67" s="49" t="n">
        <x:f>E69*'Assumptions'!F12</x:f>
        <x:v>1312.5</x:v>
      </x:c>
      <x:c r="G67" s="49" t="n">
        <x:f>F69*'Assumptions'!G12</x:f>
        <x:v>6364.8</x:v>
      </x:c>
      <x:c r="H67" s="49" t="n">
        <x:f>G69*'Assumptions'!H12</x:f>
        <x:v>21280</x:v>
      </x:c>
      <x:c r="I67" s="49" t="n">
        <x:f>H69*'Assumptions'!I12</x:f>
        <x:v>58320</x:v>
      </x:c>
      <x:c r="J67" s="49" t="n">
        <x:f>I69*'Assumptions'!J12</x:f>
        <x:v>143080</x:v>
      </x:c>
      <x:c r="K67" s="1"/>
      <x:c r="L67" s="1"/>
      <x:c r="M67" s="1"/>
    </x:row>
    <x:row r="68" ht="22" customHeight="1">
      <x:c r="A68" s="1"/>
      <x:c r="B68" s="1"/>
      <x:c r="C68" s="1" t="str">
        <x:v>New first-time households</x:v>
      </x:c>
      <x:c r="D68" s="49" t="n">
        <x:f>MAX(0,(D10-0)*$D$24-0*'Assumptions'!D12)</x:f>
        <x:v>240</x:v>
      </x:c>
      <x:c r="E68" s="49" t="n">
        <x:f>MAX(0,(D10-0)*$D$25+(E10-D10)*$D$24-D69*'Assumptions'!E12)</x:f>
        <x:v>1582</x:v>
      </x:c>
      <x:c r="F68" s="49" t="n">
        <x:f>MAX(0,(D10-0)*$D$26+(E10-D10)*$D$25+(F10-E10)*$D$24-E69*'Assumptions'!F12)</x:f>
        <x:v>6847.5</x:v>
      </x:c>
      <x:c r="G68" s="49" t="n">
        <x:f>MAX(0,(D10-0)*$D$27+(E10-D10)*$D$26+(F10-E10)*$D$25+(G10-F10)*$D$24-F69*'Assumptions'!G12)</x:f>
        <x:v>20235.2</x:v>
      </x:c>
      <x:c r="H68" s="49" t="n">
        <x:f>MAX(0,(D10-0)*$D$28+(E10-D10)*$D$27+(F10-E10)*$D$26+(G10-F10)*$D$25+(H10-G10)*$D$24-G69*'Assumptions'!H12)</x:f>
        <x:v>51620</x:v>
      </x:c>
      <x:c r="I68" s="49" t="n">
        <x:f>MAX(0,(D10-0)*$D$29+(E10-D10)*$D$28+(F10-E10)*$D$27+(G10-F10)*$D$26+(H10-G10)*$D$25+(I10-H10)*$D$24-H69*'Assumptions'!I12)</x:f>
        <x:v>120530</x:v>
      </x:c>
      <x:c r="J68" s="49" t="n">
        <x:f>MAX(0,(D10-0)*$D$30+(E10-D10)*$D$29+(F10-E10)*$D$28+(G10-F10)*$D$27+(H10-G10)*$D$26+(I10-H10)*$D$25+(J10-I10)*$D$24-I69*'Assumptions'!J12)</x:f>
        <x:v>236920</x:v>
      </x:c>
      <x:c r="K68" s="1"/>
      <x:c r="L68" s="1"/>
      <x:c r="M68" s="1"/>
    </x:row>
    <x:row r="69" ht="22" customHeight="1">
      <x:c r="A69" s="1"/>
      <x:c r="B69" s="1"/>
      <x:c r="C69" s="4" t="str">
        <x:v>Ending active households</x:v>
      </x:c>
      <x:c r="D69" s="52" t="n">
        <x:f>(D10-0)*$D$24</x:f>
        <x:v>240</x:v>
      </x:c>
      <x:c r="E69" s="52" t="n">
        <x:f>(D10-0)*$D$25+(E10-D10)*$D$24</x:f>
        <x:v>1750</x:v>
      </x:c>
      <x:c r="F69" s="52" t="n">
        <x:f>(D10-0)*$D$26+(E10-D10)*$D$25+(F10-E10)*$D$24</x:f>
        <x:v>8160</x:v>
      </x:c>
      <x:c r="G69" s="52" t="n">
        <x:f>(D10-0)*$D$27+(E10-D10)*$D$26+(F10-E10)*$D$25+(G10-F10)*$D$24</x:f>
        <x:v>26600</x:v>
      </x:c>
      <x:c r="H69" s="52" t="n">
        <x:f>(D10-0)*$D$28+(E10-D10)*$D$27+(F10-E10)*$D$26+(G10-F10)*$D$25+(H10-G10)*$D$24</x:f>
        <x:v>72900</x:v>
      </x:c>
      <x:c r="I69" s="52" t="n">
        <x:f>(D10-0)*$D$29+(E10-D10)*$D$28+(F10-E10)*$D$27+(G10-F10)*$D$26+(H10-G10)*$D$25+(I10-H10)*$D$24</x:f>
        <x:v>178850</x:v>
      </x:c>
      <x:c r="J69" s="52" t="n">
        <x:f>(D10-0)*$D$30+(E10-D10)*$D$29+(F10-E10)*$D$28+(G10-F10)*$D$27+(H10-G10)*$D$26+(I10-H10)*$D$25+(J10-I10)*$D$24</x:f>
        <x:v>380000</x:v>
      </x:c>
      <x:c r="K69" s="1"/>
      <x:c r="L69" s="1"/>
      <x:c r="M69" s="1"/>
    </x:row>
    <x:row r="70" ht="22" customHeight="1">
      <x:c r="A70" s="1"/>
      <x:c r="B70" s="1"/>
      <x:c r="C70" s="1" t="str">
        <x:v>Full-season equivalent households</x:v>
      </x:c>
      <x:c r="D70" s="49" t="n">
        <x:f>0*'Assumptions'!D12+MAX(0,(D10-0)*$D$24-0*'Assumptions'!D12)*'Assumptions'!$D$71</x:f>
        <x:v>120</x:v>
      </x:c>
      <x:c r="E70" s="49" t="n">
        <x:f>D69*'Assumptions'!E12+MAX(0,(D10-0)*$D$25+(E10-D10)*$D$24-D69*'Assumptions'!E12)*'Assumptions'!$D$71</x:f>
        <x:v>959</x:v>
      </x:c>
      <x:c r="F70" s="49" t="n">
        <x:f>E69*'Assumptions'!F12+MAX(0,(D10-0)*$D$26+(E10-D10)*$D$25+(F10-E10)*$D$24-E69*'Assumptions'!F12)*'Assumptions'!$D$71</x:f>
        <x:v>4736.25</x:v>
      </x:c>
      <x:c r="G70" s="49" t="n">
        <x:f>F69*'Assumptions'!G12+MAX(0,(D10-0)*$D$27+(E10-D10)*$D$26+(F10-E10)*$D$25+(G10-F10)*$D$24-F69*'Assumptions'!G12)*'Assumptions'!$D$71</x:f>
        <x:v>16482.4</x:v>
      </x:c>
      <x:c r="H70" s="49" t="n">
        <x:f>G69*'Assumptions'!H12+MAX(0,(D10-0)*$D$28+(E10-D10)*$D$27+(F10-E10)*$D$26+(G10-F10)*$D$25+(H10-G10)*$D$24-G69*'Assumptions'!H12)*'Assumptions'!$D$71</x:f>
        <x:v>47090</x:v>
      </x:c>
      <x:c r="I70" s="49" t="n">
        <x:f>H69*'Assumptions'!I12+MAX(0,(D10-0)*$D$29+(E10-D10)*$D$28+(F10-E10)*$D$27+(G10-F10)*$D$26+(H10-G10)*$D$25+(I10-H10)*$D$24-H69*'Assumptions'!I12)*'Assumptions'!$D$71</x:f>
        <x:v>118585</x:v>
      </x:c>
      <x:c r="J70" s="49" t="n">
        <x:f>I69*'Assumptions'!J12+MAX(0,(D10-0)*$D$30+(E10-D10)*$D$29+(F10-E10)*$D$28+(G10-F10)*$D$27+(H10-G10)*$D$26+(I10-H10)*$D$25+(J10-I10)*$D$24-I69*'Assumptions'!J12)*'Assumptions'!$D$71</x:f>
        <x:v>261540</x:v>
      </x:c>
      <x:c r="K70" s="1"/>
      <x:c r="L70" s="1"/>
      <x:c r="M70" s="1"/>
    </x:row>
    <x:row r="71" ht="22" customHeight="1">
      <x:c r="A71" s="1"/>
      <x:c r="B71" s="1"/>
      <x:c r="C71" s="1" t="str">
        <x:v>Churned households</x:v>
      </x:c>
      <x:c r="D71" s="49" t="n">
        <x:f>0-0*'Assumptions'!D12</x:f>
        <x:v>0</x:v>
      </x:c>
      <x:c r="E71" s="49" t="n">
        <x:f>D69-D69*'Assumptions'!E12</x:f>
        <x:v>72</x:v>
      </x:c>
      <x:c r="F71" s="49" t="n">
        <x:f>E69-E69*'Assumptions'!F12</x:f>
        <x:v>437.5</x:v>
      </x:c>
      <x:c r="G71" s="49" t="n">
        <x:f>F69-F69*'Assumptions'!G12</x:f>
        <x:v>1795.1999999999998</x:v>
      </x:c>
      <x:c r="H71" s="49" t="n">
        <x:f>G69-G69*'Assumptions'!H12</x:f>
        <x:v>5320</x:v>
      </x:c>
      <x:c r="I71" s="49" t="n">
        <x:f>H69-H69*'Assumptions'!I12</x:f>
        <x:v>14580</x:v>
      </x:c>
      <x:c r="J71" s="49" t="n">
        <x:f>I69-I69*'Assumptions'!J12</x:f>
        <x:v>35770</x:v>
      </x:c>
      <x:c r="K71" s="1"/>
      <x:c r="L71" s="1"/>
      <x:c r="M71" s="1"/>
    </x:row>
    <x:row r="72" ht="22" customHeight="1">
      <x:c r="A72" s="1"/>
      <x:c r="B72" s="1"/>
      <x:c r="C72" s="1" t="str">
        <x:v>Ending active providers</x:v>
      </x:c>
      <x:c r="D72" s="11" t="n">
        <x:f>ROUNDUP(((D10-0)*$D$24)/$D$56,0)</x:f>
        <x:v>6</x:v>
      </x:c>
      <x:c r="E72" s="11" t="n">
        <x:f>ROUNDUP(((D10-0)*$D$25+(E10-D10)*$D$24)/$D$56,0)</x:f>
        <x:v>44</x:v>
      </x:c>
      <x:c r="F72" s="11" t="n">
        <x:f>ROUNDUP(((D10-0)*$D$26+(E10-D10)*$D$25+(F10-E10)*$D$24)/$D$56,0)</x:f>
        <x:v>204</x:v>
      </x:c>
      <x:c r="G72" s="11" t="n">
        <x:f>ROUNDUP(((D10-0)*$D$27+(E10-D10)*$D$26+(F10-E10)*$D$25+(G10-F10)*$D$24)/$D$56,0)</x:f>
        <x:v>665</x:v>
      </x:c>
      <x:c r="H72" s="11" t="n">
        <x:f>ROUNDUP(((D10-0)*$D$28+(E10-D10)*$D$27+(F10-E10)*$D$26+(G10-F10)*$D$25+(H10-G10)*$D$24)/$D$56,0)</x:f>
        <x:v>1823</x:v>
      </x:c>
      <x:c r="I72" s="11" t="n">
        <x:f>ROUNDUP(((D10-0)*$D$29+(E10-D10)*$D$28+(F10-E10)*$D$27+(G10-F10)*$D$26+(H10-G10)*$D$25+(I10-H10)*$D$24)/$D$56,0)</x:f>
        <x:v>4472</x:v>
      </x:c>
      <x:c r="J72" s="11" t="n">
        <x:f>ROUNDUP(((D10-0)*$D$30+(E10-D10)*$D$29+(F10-E10)*$D$28+(G10-F10)*$D$27+(H10-G10)*$D$26+(I10-H10)*$D$25+(J10-I10)*$D$24)/$D$56,0)</x:f>
        <x:v>9500</x:v>
      </x:c>
      <x:c r="K72" s="1"/>
      <x:c r="L72" s="1"/>
      <x:c r="M72" s="1"/>
    </x:row>
    <x:row r="73" ht="22" customHeight="1">
      <x:c r="A73" s="1"/>
      <x:c r="B73" s="1"/>
      <x:c r="C73" s="1" t="str">
        <x:v>Retained providers</x:v>
      </x:c>
      <x:c r="D73" s="11" t="n">
        <x:f>0</x:f>
        <x:v>0</x:v>
      </x:c>
      <x:c r="E73" s="11" t="n">
        <x:f>D72*$D$57</x:f>
        <x:v>5.1</x:v>
      </x:c>
      <x:c r="F73" s="11" t="n">
        <x:f>E72*$D$57</x:f>
        <x:v>37.4</x:v>
      </x:c>
      <x:c r="G73" s="11" t="n">
        <x:f>F72*$D$57</x:f>
        <x:v>173.4</x:v>
      </x:c>
      <x:c r="H73" s="11" t="n">
        <x:f>G72*$D$57</x:f>
        <x:v>565.25</x:v>
      </x:c>
      <x:c r="I73" s="11" t="n">
        <x:f>H72*$D$57</x:f>
        <x:v>1549.55</x:v>
      </x:c>
      <x:c r="J73" s="11" t="n">
        <x:f>I72*$D$57</x:f>
        <x:v>3801.2</x:v>
      </x:c>
      <x:c r="K73" s="1"/>
      <x:c r="L73" s="1"/>
      <x:c r="M73" s="1"/>
    </x:row>
    <x:row r="74" ht="22" customHeight="1">
      <x:c r="A74" s="1"/>
      <x:c r="B74" s="1"/>
      <x:c r="C74" s="1" t="str">
        <x:v>New / replacement providers</x:v>
      </x:c>
      <x:c r="D74" s="11" t="n">
        <x:f>MAX(0,ROUNDUP(((D10-0)*$D$24)/$D$56,0)-0)</x:f>
        <x:v>6</x:v>
      </x:c>
      <x:c r="E74" s="11" t="n">
        <x:f>MAX(0,ROUNDUP(((D10-0)*$D$25+(E10-D10)*$D$24)/$D$56,0)-D72*$D$57)</x:f>
        <x:v>38.9</x:v>
      </x:c>
      <x:c r="F74" s="11" t="n">
        <x:f>MAX(0,ROUNDUP(((D10-0)*$D$26+(E10-D10)*$D$25+(F10-E10)*$D$24)/$D$56,0)-E72*$D$57)</x:f>
        <x:v>166.6</x:v>
      </x:c>
      <x:c r="G74" s="11" t="n">
        <x:f>MAX(0,ROUNDUP(((D10-0)*$D$27+(E10-D10)*$D$26+(F10-E10)*$D$25+(G10-F10)*$D$24)/$D$56,0)-F72*$D$57)</x:f>
        <x:v>491.6</x:v>
      </x:c>
      <x:c r="H74" s="11" t="n">
        <x:f>MAX(0,ROUNDUP(((D10-0)*$D$28+(E10-D10)*$D$27+(F10-E10)*$D$26+(G10-F10)*$D$25+(H10-G10)*$D$24)/$D$56,0)-G72*$D$57)</x:f>
        <x:v>1257.75</x:v>
      </x:c>
      <x:c r="I74" s="11" t="n">
        <x:f>MAX(0,ROUNDUP(((D10-0)*$D$29+(E10-D10)*$D$28+(F10-E10)*$D$27+(G10-F10)*$D$26+(H10-G10)*$D$25+(I10-H10)*$D$24)/$D$56,0)-H72*$D$57)</x:f>
        <x:v>2922.45</x:v>
      </x:c>
      <x:c r="J74" s="11" t="n">
        <x:f>MAX(0,ROUNDUP(((D10-0)*$D$30+(E10-D10)*$D$29+(F10-E10)*$D$28+(G10-F10)*$D$27+(H10-G10)*$D$26+(I10-H10)*$D$25+(J10-I10)*$D$24)/$D$56,0)-I72*$D$57)</x:f>
        <x:v>5698.8</x:v>
      </x:c>
      <x:c r="K74" s="1"/>
      <x:c r="L74" s="1"/>
      <x:c r="M74" s="1"/>
    </x:row>
    <x:row r="75" ht="22" customHeight="1">
      <x:c r="A75" s="1"/>
      <x:c r="B75" s="1"/>
      <x:c r="C75" s="1" t="str">
        <x:v>Average active providers</x:v>
      </x:c>
      <x:c r="D75" s="49" t="n">
        <x:f>0+MAX(0,ROUNDUP(((D10-0)*$D$24)/$D$56,0)-0)*'Assumptions'!$D$71</x:f>
        <x:v>3</x:v>
      </x:c>
      <x:c r="E75" s="49" t="n">
        <x:f>D72*$D$57+MAX(0,ROUNDUP(((D10-0)*$D$25+(E10-D10)*$D$24)/$D$56,0)-D72*$D$57)*'Assumptions'!$D$71</x:f>
        <x:v>24.549999999999997</x:v>
      </x:c>
      <x:c r="F75" s="49" t="n">
        <x:f>E72*$D$57+MAX(0,ROUNDUP(((D10-0)*$D$26+(E10-D10)*$D$25+(F10-E10)*$D$24)/$D$56,0)-E72*$D$57)*'Assumptions'!$D$71</x:f>
        <x:v>120.69999999999999</x:v>
      </x:c>
      <x:c r="G75" s="49" t="n">
        <x:f>F72*$D$57+MAX(0,ROUNDUP(((D10-0)*$D$27+(E10-D10)*$D$26+(F10-E10)*$D$25+(G10-F10)*$D$24)/$D$56,0)-F72*$D$57)*'Assumptions'!$D$71</x:f>
        <x:v>419.20000000000005</x:v>
      </x:c>
      <x:c r="H75" s="49" t="n">
        <x:f>G72*$D$57+MAX(0,ROUNDUP(((D10-0)*$D$28+(E10-D10)*$D$27+(F10-E10)*$D$26+(G10-F10)*$D$25+(H10-G10)*$D$24)/$D$56,0)-G72*$D$57)*'Assumptions'!$D$71</x:f>
        <x:v>1194.125</x:v>
      </x:c>
      <x:c r="I75" s="49" t="n">
        <x:f>H72*$D$57+MAX(0,ROUNDUP(((D10-0)*$D$29+(E10-D10)*$D$28+(F10-E10)*$D$27+(G10-F10)*$D$26+(H10-G10)*$D$25+(I10-H10)*$D$24)/$D$56,0)-H72*$D$57)*'Assumptions'!$D$71</x:f>
        <x:v>3010.7749999999996</x:v>
      </x:c>
      <x:c r="J75" s="49" t="n">
        <x:f>I72*$D$57+MAX(0,ROUNDUP(((D10-0)*$D$30+(E10-D10)*$D$29+(F10-E10)*$D$28+(G10-F10)*$D$27+(H10-G10)*$D$26+(I10-H10)*$D$25+(J10-I10)*$D$24)/$D$56,0)-I72*$D$57)*'Assumptions'!$D$71</x:f>
        <x:v>6650.6</x:v>
      </x:c>
      <x:c r="K75" s="1"/>
      <x:c r="L75" s="1"/>
      <x:c r="M75" s="1"/>
    </x:row>
    <x:row r="76" ht="22" customHeight="1">
      <x:c r="A76" s="1"/>
      <x:c r="B76" s="1"/>
      <x:c r="C76" s="1" t="str">
        <x:v>Customer acquisition spend</x:v>
      </x:c>
      <x:c r="D76" s="50" t="n">
        <x:f>MAX(0,(D10-0)*$D$24-0*'Assumptions'!D12)*D40</x:f>
        <x:v>13200</x:v>
      </x:c>
      <x:c r="E76" s="50" t="n">
        <x:f>MAX(0,(D10-0)*$D$25+(E10-D10)*$D$24-D69*'Assumptions'!E12)*E40</x:f>
        <x:v>79100</x:v>
      </x:c>
      <x:c r="F76" s="50" t="n">
        <x:f>MAX(0,(D10-0)*$D$26+(E10-D10)*$D$25+(F10-E10)*$D$24-E69*'Assumptions'!F12)*F40</x:f>
        <x:v>308137.5</x:v>
      </x:c>
      <x:c r="G76" s="50" t="n">
        <x:f>MAX(0,(D10-0)*$D$27+(E10-D10)*$D$26+(F10-E10)*$D$25+(G10-F10)*$D$24-F69*'Assumptions'!G12)*G40</x:f>
        <x:v>809408</x:v>
      </x:c>
      <x:c r="H76" s="50" t="n">
        <x:f>MAX(0,(D10-0)*$D$28+(E10-D10)*$D$27+(F10-E10)*$D$26+(G10-F10)*$D$25+(H10-G10)*$D$24-G69*'Assumptions'!H12)*H40</x:f>
        <x:v>1806700</x:v>
      </x:c>
      <x:c r="I76" s="50" t="n">
        <x:f>MAX(0,(D10-0)*$D$29+(E10-D10)*$D$28+(F10-E10)*$D$27+(G10-F10)*$D$26+(H10-G10)*$D$25+(I10-H10)*$D$24-H69*'Assumptions'!I12)*I40</x:f>
        <x:v>3856960</x:v>
      </x:c>
      <x:c r="J76" s="50" t="n">
        <x:f>MAX(0,(D10-0)*$D$30+(E10-D10)*$D$29+(F10-E10)*$D$28+(G10-F10)*$D$27+(H10-G10)*$D$26+(I10-H10)*$D$25+(J10-I10)*$D$24-I69*'Assumptions'!J12)*J40</x:f>
        <x:v>7107600</x:v>
      </x:c>
      <x:c r="K76" s="1"/>
      <x:c r="L76" s="1"/>
      <x:c r="M76" s="1"/>
    </x:row>
    <x:row r="77" ht="22" customHeight="1">
      <x:c r="A77" s="1"/>
      <x:c r="B77" s="1"/>
      <x:c r="C77" s="1" t="str">
        <x:v>Launch spend</x:v>
      </x:c>
      <x:c r="D77" s="22" t="n">
        <x:f>(D10-0)*$D$52</x:f>
        <x:v>5000</x:v>
      </x:c>
      <x:c r="E77" s="22" t="n">
        <x:f>(E10-D10)*$D$52</x:f>
        <x:v>25000</x:v>
      </x:c>
      <x:c r="F77" s="22" t="n">
        <x:f>(F10-E10)*$D$52</x:f>
        <x:v>95000</x:v>
      </x:c>
      <x:c r="G77" s="22" t="n">
        <x:f>(G10-F10)*$D$52</x:f>
        <x:v>225000</x:v>
      </x:c>
      <x:c r="H77" s="22" t="n">
        <x:f>(H10-G10)*$D$52</x:f>
        <x:v>525000</x:v>
      </x:c>
      <x:c r="I77" s="22" t="n">
        <x:f>(I10-H10)*$D$52</x:f>
        <x:v>1125000</x:v>
      </x:c>
      <x:c r="J77" s="22" t="n">
        <x:f>(J10-I10)*$D$52</x:f>
        <x:v>1750000</x:v>
      </x:c>
      <x:c r="K77" s="1"/>
      <x:c r="L77" s="1"/>
      <x:c r="M77" s="1"/>
    </x:row>
    <x:row r="78" ht="22" customHeight="1">
      <x:c r="A78" s="1"/>
      <x:c r="B78" s="1"/>
      <x:c r="C78" s="1" t="str">
        <x:v>Service-area coverage</x:v>
      </x:c>
      <x:c r="D78" s="22" t="n">
        <x:f>D10*$D$53</x:f>
        <x:v>2000</x:v>
      </x:c>
      <x:c r="E78" s="22" t="n">
        <x:f>E10*$D$53</x:f>
        <x:v>12000</x:v>
      </x:c>
      <x:c r="F78" s="22" t="n">
        <x:f>F10*$D$53</x:f>
        <x:v>50000</x:v>
      </x:c>
      <x:c r="G78" s="22" t="n">
        <x:f>G10*$D$53</x:f>
        <x:v>140000</x:v>
      </x:c>
      <x:c r="H78" s="22" t="n">
        <x:f>H10*$D$53</x:f>
        <x:v>350000</x:v>
      </x:c>
      <x:c r="I78" s="22" t="n">
        <x:f>I10*$D$53</x:f>
        <x:v>800000</x:v>
      </x:c>
      <x:c r="J78" s="22" t="n">
        <x:f>J10*$D$53</x:f>
        <x:v>1500000</x:v>
      </x:c>
      <x:c r="K78" s="1"/>
      <x:c r="L78" s="1"/>
      <x:c r="M78" s="1"/>
    </x:row>
    <x:row r="79" ht="22" customHeight="1">
      <x:c r="A79" s="1"/>
      <x:c r="B79" s="1"/>
      <x:c r="C79" s="1" t="str">
        <x:v>Regional cluster operations</x:v>
      </x:c>
      <x:c r="D79" s="22" t="n">
        <x:f>D20*$D$54</x:f>
        <x:v>20000</x:v>
      </x:c>
      <x:c r="E79" s="22" t="n">
        <x:f>E20*$D$54</x:f>
        <x:v>20000</x:v>
      </x:c>
      <x:c r="F79" s="22" t="n">
        <x:f>F20*$D$54</x:f>
        <x:v>60000</x:v>
      </x:c>
      <x:c r="G79" s="22" t="n">
        <x:f>G20*$D$54</x:f>
        <x:v>120000</x:v>
      </x:c>
      <x:c r="H79" s="22" t="n">
        <x:f>H20*$D$54</x:f>
        <x:v>280000</x:v>
      </x:c>
      <x:c r="I79" s="22" t="n">
        <x:f>I20*$D$54</x:f>
        <x:v>600000</x:v>
      </x:c>
      <x:c r="J79" s="22" t="n">
        <x:f>J20*$D$54</x:f>
        <x:v>1000000</x:v>
      </x:c>
      <x:c r="K79" s="1"/>
      <x:c r="L79" s="1"/>
      <x:c r="M79" s="1"/>
    </x:row>
    <x:row r="80" ht="22" customHeight="1">
      <x:c r="A80" s="1"/>
      <x:c r="B80" s="1"/>
      <x:c r="C80" s="4" t="str">
        <x:v>Total local operating spend</x:v>
      </x:c>
      <x:c r="D80" s="24" t="n">
        <x:f>SUM(D77:D79)</x:f>
        <x:v>27000</x:v>
      </x:c>
      <x:c r="E80" s="24" t="n">
        <x:f>SUM(E77:E79)</x:f>
        <x:v>57000</x:v>
      </x:c>
      <x:c r="F80" s="24" t="n">
        <x:f>SUM(F77:F79)</x:f>
        <x:v>205000</x:v>
      </x:c>
      <x:c r="G80" s="24" t="n">
        <x:f>SUM(G77:G79)</x:f>
        <x:v>485000</x:v>
      </x:c>
      <x:c r="H80" s="24" t="n">
        <x:f>SUM(H77:H79)</x:f>
        <x:v>1155000</x:v>
      </x:c>
      <x:c r="I80" s="24" t="n">
        <x:f>SUM(I77:I79)</x:f>
        <x:v>2525000</x:v>
      </x:c>
      <x:c r="J80" s="24" t="n">
        <x:f>SUM(J77:J79)</x:f>
        <x:v>4250000</x:v>
      </x:c>
      <x:c r="K80" s="1"/>
      <x:c r="L80" s="1"/>
      <x:c r="M80" s="1"/>
    </x:row>
    <x:row r="81" ht="22" customHeight="1">
      <x:c r="A81" s="1"/>
      <x:c r="B81" s="1"/>
      <x:c r="C81" s="1" t="str">
        <x:v>Equipment capex</x:v>
      </x:c>
      <x:c r="D81" s="22" t="n">
        <x:f>D45*$D$55</x:f>
        <x:v>15000</x:v>
      </x:c>
      <x:c r="E81" s="22" t="n">
        <x:f>E45*$D$55</x:f>
        <x:v>25000</x:v>
      </x:c>
      <x:c r="F81" s="22" t="n">
        <x:f>F45*$D$55</x:f>
        <x:v>40000</x:v>
      </x:c>
      <x:c r="G81" s="22" t="n">
        <x:f>G45*$D$55</x:f>
        <x:v>75000</x:v>
      </x:c>
      <x:c r="H81" s="22" t="n">
        <x:f>H45*$D$55</x:f>
        <x:v>125000</x:v>
      </x:c>
      <x:c r="I81" s="22" t="n">
        <x:f>I45*$D$55</x:f>
        <x:v>200000</x:v>
      </x:c>
      <x:c r="J81" s="22" t="n">
        <x:f>J45*$D$55</x:f>
        <x:v>300000</x:v>
      </x:c>
      <x:c r="K81" s="1"/>
      <x:c r="L81" s="1"/>
      <x:c r="M81" s="1"/>
    </x:row>
    <x:row r="82" ht="22" customHeight="1">
      <x:c r="A82" s="1"/>
      <x:c r="B82" s="1"/>
      <x:c r="C82" s="1" t="str">
        <x:v>Weighted customer CAC</x:v>
      </x:c>
      <x:c r="D82" s="50" t="n">
        <x:f>IFERROR(D76/MAX(0,(D10-0)*$D$24-0*'Assumptions'!D12),0)</x:f>
        <x:v>55</x:v>
      </x:c>
      <x:c r="E82" s="50" t="n">
        <x:f>IFERROR(E76/MAX(0,(D10-0)*$D$25+(E10-D10)*$D$24-D69*'Assumptions'!E12),0)</x:f>
        <x:v>50</x:v>
      </x:c>
      <x:c r="F82" s="50" t="n">
        <x:f>IFERROR(F76/MAX(0,(D10-0)*$D$26+(E10-D10)*$D$25+(F10-E10)*$D$24-E69*'Assumptions'!F12),0)</x:f>
        <x:v>45</x:v>
      </x:c>
      <x:c r="G82" s="50" t="n">
        <x:f>IFERROR(G76/MAX(0,(D10-0)*$D$27+(E10-D10)*$D$26+(F10-E10)*$D$25+(G10-F10)*$D$24-F69*'Assumptions'!G12),0)</x:f>
        <x:v>40</x:v>
      </x:c>
      <x:c r="H82" s="50" t="n">
        <x:f>IFERROR(H76/MAX(0,(D10-0)*$D$28+(E10-D10)*$D$27+(F10-E10)*$D$26+(G10-F10)*$D$25+(H10-G10)*$D$24-G69*'Assumptions'!H12),0)</x:f>
        <x:v>35</x:v>
      </x:c>
      <x:c r="I82" s="50" t="n">
        <x:f>IFERROR(I76/MAX(0,(D10-0)*$D$29+(E10-D10)*$D$28+(F10-E10)*$D$27+(G10-F10)*$D$26+(H10-G10)*$D$25+(I10-H10)*$D$24-H69*'Assumptions'!I12),0)</x:f>
        <x:v>32</x:v>
      </x:c>
      <x:c r="J82" s="50" t="n">
        <x:f>IFERROR(J76/MAX(0,(D10-0)*$D$30+(E10-D10)*$D$29+(F10-E10)*$D$28+(G10-F10)*$D$27+(H10-G10)*$D$26+(I10-H10)*$D$25+(J10-I10)*$D$24-I69*'Assumptions'!J12),0)</x:f>
        <x:v>30</x:v>
      </x:c>
      <x:c r="K82" s="1"/>
      <x:c r="L82" s="1"/>
      <x:c r="M82" s="1"/>
    </x:row>
    <x:row r="83" ht="22" customHeight="1">
      <x:c r="A83" s="1"/>
      <x:c r="B83" s="1"/>
      <x:c r="C83" s="1" t="str">
        <x:v>Average finder fee before waiver</x:v>
      </x:c>
      <x:c r="D83" s="50" t="n">
        <x:f>$D$59*'Assumptions'!$D$69+$D$60*'Assumptions'!$D$133+$D$61*'Assumptions'!$D$134</x:f>
        <x:v>91.25</x:v>
      </x:c>
      <x:c r="E83" s="50" t="n">
        <x:f>$D$59*'Assumptions'!$D$69+$D$60*'Assumptions'!$D$133+$D$61*'Assumptions'!$D$134</x:f>
        <x:v>91.25</x:v>
      </x:c>
      <x:c r="F83" s="50" t="n">
        <x:f>$D$59*'Assumptions'!$D$69+$D$60*'Assumptions'!$D$133+$D$61*'Assumptions'!$D$134</x:f>
        <x:v>91.25</x:v>
      </x:c>
      <x:c r="G83" s="50" t="n">
        <x:f>$D$59*'Assumptions'!$D$69+$D$60*'Assumptions'!$D$133+$D$61*'Assumptions'!$D$134</x:f>
        <x:v>91.25</x:v>
      </x:c>
      <x:c r="H83" s="50" t="n">
        <x:f>$D$59*'Assumptions'!$D$69+$D$60*'Assumptions'!$D$133+$D$61*'Assumptions'!$D$134</x:f>
        <x:v>91.25</x:v>
      </x:c>
      <x:c r="I83" s="50" t="n">
        <x:f>$D$59*'Assumptions'!$D$69+$D$60*'Assumptions'!$D$133+$D$61*'Assumptions'!$D$134</x:f>
        <x:v>91.25</x:v>
      </x:c>
      <x:c r="J83" s="50" t="n">
        <x:f>$D$59*'Assumptions'!$D$69+$D$60*'Assumptions'!$D$133+$D$61*'Assumptions'!$D$134</x:f>
        <x:v>91.25</x:v>
      </x:c>
      <x:c r="K83" s="1"/>
      <x:c r="L83" s="1"/>
      <x:c r="M83" s="1"/>
    </x:row>
    <x:row r="84" ht="22" customHeight="1">
      <x:c r="A84" s="1"/>
      <x:c r="B84" s="1"/>
      <x:c r="C84" s="1" t="str">
        <x:v>Welcome pair count</x:v>
      </x:c>
      <x:c r="D84" s="49" t="n">
        <x:f>MIN(MAX(0,(D10-0)*$D$24-0*'Assumptions'!D12),MAX(0,ROUNDUP(((D10-0)*$D$24)/$D$56,0)-0)*$D$58)</x:f>
        <x:v>6</x:v>
      </x:c>
      <x:c r="E84" s="49" t="n">
        <x:f>MIN(MAX(0,(D10-0)*$D$25+(E10-D10)*$D$24-D69*'Assumptions'!E12),MAX(0,ROUNDUP(((D10-0)*$D$25+(E10-D10)*$D$24)/$D$56,0)-D72*$D$57)*$D$58)</x:f>
        <x:v>38.9</x:v>
      </x:c>
      <x:c r="F84" s="49" t="n">
        <x:f>MIN(MAX(0,(D10-0)*$D$26+(E10-D10)*$D$25+(F10-E10)*$D$24-E69*'Assumptions'!F12),MAX(0,ROUNDUP(((D10-0)*$D$26+(E10-D10)*$D$25+(F10-E10)*$D$24)/$D$56,0)-E72*$D$57)*$D$58)</x:f>
        <x:v>166.6</x:v>
      </x:c>
      <x:c r="G84" s="49" t="n">
        <x:f>MIN(MAX(0,(D10-0)*$D$27+(E10-D10)*$D$26+(F10-E10)*$D$25+(G10-F10)*$D$24-F69*'Assumptions'!G12),MAX(0,ROUNDUP(((D10-0)*$D$27+(E10-D10)*$D$26+(F10-E10)*$D$25+(G10-F10)*$D$24)/$D$56,0)-F72*$D$57)*$D$58)</x:f>
        <x:v>491.6</x:v>
      </x:c>
      <x:c r="H84" s="49" t="n">
        <x:f>MIN(MAX(0,(D10-0)*$D$28+(E10-D10)*$D$27+(F10-E10)*$D$26+(G10-F10)*$D$25+(H10-G10)*$D$24-G69*'Assumptions'!H12),MAX(0,ROUNDUP(((D10-0)*$D$28+(E10-D10)*$D$27+(F10-E10)*$D$26+(G10-F10)*$D$25+(H10-G10)*$D$24)/$D$56,0)-G72*$D$57)*$D$58)</x:f>
        <x:v>1257.75</x:v>
      </x:c>
      <x:c r="I84" s="49" t="n">
        <x:f>MIN(MAX(0,(D10-0)*$D$29+(E10-D10)*$D$28+(F10-E10)*$D$27+(G10-F10)*$D$26+(H10-G10)*$D$25+(I10-H10)*$D$24-H69*'Assumptions'!I12),MAX(0,ROUNDUP(((D10-0)*$D$29+(E10-D10)*$D$28+(F10-E10)*$D$27+(G10-F10)*$D$26+(H10-G10)*$D$25+(I10-H10)*$D$24)/$D$56,0)-H72*$D$57)*$D$58)</x:f>
        <x:v>2922.45</x:v>
      </x:c>
      <x:c r="J84" s="49" t="n">
        <x:f>MIN(MAX(0,(D10-0)*$D$30+(E10-D10)*$D$29+(F10-E10)*$D$28+(G10-F10)*$D$27+(H10-G10)*$D$26+(I10-H10)*$D$25+(J10-I10)*$D$24-I69*'Assumptions'!J12),MAX(0,ROUNDUP(((D10-0)*$D$30+(E10-D10)*$D$29+(F10-E10)*$D$28+(G10-F10)*$D$27+(H10-G10)*$D$26+(I10-H10)*$D$25+(J10-I10)*$D$24)/$D$56,0)-I72*$D$57)*$D$58)</x:f>
        <x:v>5698.8</x:v>
      </x:c>
      <x:c r="K84" s="1"/>
      <x:c r="L84" s="1"/>
      <x:c r="M84" s="1"/>
    </x:row>
    <x:row r="85" ht="22" customHeight="1">
      <x:c r="A85" s="1"/>
      <x:c r="B85" s="1"/>
      <x:c r="C85" s="4" t="str">
        <x:v>Net finder-fee revenue</x:v>
      </x:c>
      <x:c r="D85" s="54" t="n">
        <x:f>(MAX(0,(D10-0)*$D$24-0*'Assumptions'!D12)-D84)*($D$59*'Assumptions'!$D$69+$D$60*'Assumptions'!$D$133+$D$61*'Assumptions'!$D$134)</x:f>
        <x:v>21352.5</x:v>
      </x:c>
      <x:c r="E85" s="54" t="n">
        <x:f>(MAX(0,(D10-0)*$D$25+(E10-D10)*$D$24-D69*'Assumptions'!E12)-E84)*($D$59*'Assumptions'!$D$69+$D$60*'Assumptions'!$D$133+$D$61*'Assumptions'!$D$134)</x:f>
        <x:v>140807.875</x:v>
      </x:c>
      <x:c r="F85" s="54" t="n">
        <x:f>(MAX(0,(D10-0)*$D$26+(E10-D10)*$D$25+(F10-E10)*$D$24-E69*'Assumptions'!F12)-F84)*($D$59*'Assumptions'!$D$69+$D$60*'Assumptions'!$D$133+$D$61*'Assumptions'!$D$134)</x:f>
        <x:v>609632.125</x:v>
      </x:c>
      <x:c r="G85" s="54" t="n">
        <x:f>(MAX(0,(D10-0)*$D$27+(E10-D10)*$D$26+(F10-E10)*$D$25+(G10-F10)*$D$24-F69*'Assumptions'!G12)-G84)*($D$59*'Assumptions'!$D$69+$D$60*'Assumptions'!$D$133+$D$61*'Assumptions'!$D$134)</x:f>
        <x:v>1801603.5000000002</x:v>
      </x:c>
      <x:c r="H85" s="54" t="n">
        <x:f>(MAX(0,(D10-0)*$D$28+(E10-D10)*$D$27+(F10-E10)*$D$26+(G10-F10)*$D$25+(H10-G10)*$D$24-G69*'Assumptions'!H12)-H84)*($D$59*'Assumptions'!$D$69+$D$60*'Assumptions'!$D$133+$D$61*'Assumptions'!$D$134)</x:f>
        <x:v>4595555.3125</x:v>
      </x:c>
      <x:c r="I85" s="54" t="n">
        <x:f>(MAX(0,(D10-0)*$D$29+(E10-D10)*$D$28+(F10-E10)*$D$27+(G10-F10)*$D$26+(H10-G10)*$D$25+(I10-H10)*$D$24-H69*'Assumptions'!I12)-I84)*($D$59*'Assumptions'!$D$69+$D$60*'Assumptions'!$D$133+$D$61*'Assumptions'!$D$134)</x:f>
        <x:v>10731688.9375</x:v>
      </x:c>
      <x:c r="J85" s="54" t="n">
        <x:f>(MAX(0,(D10-0)*$D$30+(E10-D10)*$D$29+(F10-E10)*$D$28+(G10-F10)*$D$27+(H10-G10)*$D$26+(I10-H10)*$D$25+(J10-I10)*$D$24-I69*'Assumptions'!J12)-J84)*($D$59*'Assumptions'!$D$69+$D$60*'Assumptions'!$D$133+$D$61*'Assumptions'!$D$134)</x:f>
        <x:v>21098934.5</x:v>
      </x:c>
      <x:c r="K85" s="1"/>
      <x:c r="L85" s="1"/>
      <x:c r="M85" s="1"/>
    </x:row>
    <x:row r="86" ht="22" customHeight="1">
      <x:c r="A86" s="1"/>
      <x:c r="B86" s="1"/>
      <x:c r="C86" s="1"/>
      <x:c r="D86" s="6"/>
      <x:c r="E86" s="6"/>
      <x:c r="F86" s="6"/>
      <x:c r="G86" s="6"/>
      <x:c r="H86" s="6"/>
      <x:c r="I86" s="6"/>
      <x:c r="J86" s="6"/>
      <x:c r="K86" s="1"/>
      <x:c r="L86" s="1"/>
      <x:c r="M86" s="1"/>
    </x:row>
    <x:row r="87" ht="22" customHeight="1">
      <x:c r="A87" s="1"/>
      <x:c r="B87" s="1"/>
      <x:c r="C87" s="1" t="str">
        <x:v>Service areas above prior year / check</x:v>
      </x:c>
      <x:c r="D87" s="55" t="n">
        <x:f>MAX(0,-(D10-0))</x:f>
        <x:v>0</x:v>
      </x:c>
      <x:c r="E87" s="55" t="n">
        <x:f>MAX(0,-(E10-D10))</x:f>
        <x:v>0</x:v>
      </x:c>
      <x:c r="F87" s="55" t="n">
        <x:f>MAX(0,-(F10-E10))</x:f>
        <x:v>0</x:v>
      </x:c>
      <x:c r="G87" s="55" t="n">
        <x:f>MAX(0,-(G10-F10))</x:f>
        <x:v>0</x:v>
      </x:c>
      <x:c r="H87" s="55" t="n">
        <x:f>MAX(0,-(H10-G10))</x:f>
        <x:v>0</x:v>
      </x:c>
      <x:c r="I87" s="55" t="n">
        <x:f>MAX(0,-(I10-H10))</x:f>
        <x:v>0</x:v>
      </x:c>
      <x:c r="J87" s="55" t="n">
        <x:f>MAX(0,-(J10-I10))</x:f>
        <x:v>0</x:v>
      </x:c>
      <x:c r="K87" s="1"/>
      <x:c r="L87" s="1"/>
      <x:c r="M87" s="1"/>
    </x:row>
    <x:row r="88" ht="22" customHeight="1">
      <x:c r="A88" s="1"/>
      <x:c r="B88" s="1"/>
      <x:c r="C88" s="1" t="str">
        <x:v>Household balance check</x:v>
      </x:c>
      <x:c r="D88" s="56" t="n">
        <x:f>(0*'Assumptions'!D12)+(MAX(0,(D10-0)*$D$24-0*'Assumptions'!D12))-((D10-0)*$D$24)</x:f>
        <x:v>0</x:v>
      </x:c>
      <x:c r="E88" s="56" t="n">
        <x:f>(D69*'Assumptions'!E12)+(MAX(0,(D10-0)*$D$25+(E10-D10)*$D$24-D69*'Assumptions'!E12))-((D10-0)*$D$25+(E10-D10)*$D$24)</x:f>
        <x:v>0</x:v>
      </x:c>
      <x:c r="F88" s="56" t="n">
        <x:f>(E69*'Assumptions'!F12)+(MAX(0,(D10-0)*$D$26+(E10-D10)*$D$25+(F10-E10)*$D$24-E69*'Assumptions'!F12))-((D10-0)*$D$26+(E10-D10)*$D$25+(F10-E10)*$D$24)</x:f>
        <x:v>0</x:v>
      </x:c>
      <x:c r="G88" s="56" t="n">
        <x:f>(F69*'Assumptions'!G12)+(MAX(0,(D10-0)*$D$27+(E10-D10)*$D$26+(F10-E10)*$D$25+(G10-F10)*$D$24-F69*'Assumptions'!G12))-((D10-0)*$D$27+(E10-D10)*$D$26+(F10-E10)*$D$25+(G10-F10)*$D$24)</x:f>
        <x:v>0</x:v>
      </x:c>
      <x:c r="H88" s="56" t="n">
        <x:f>(G69*'Assumptions'!H12)+(MAX(0,(D10-0)*$D$28+(E10-D10)*$D$27+(F10-E10)*$D$26+(G10-F10)*$D$25+(H10-G10)*$D$24-G69*'Assumptions'!H12))-((D10-0)*$D$28+(E10-D10)*$D$27+(F10-E10)*$D$26+(G10-F10)*$D$25+(H10-G10)*$D$24)</x:f>
        <x:v>0</x:v>
      </x:c>
      <x:c r="I88" s="56" t="n">
        <x:f>(H69*'Assumptions'!I12)+(MAX(0,(D10-0)*$D$29+(E10-D10)*$D$28+(F10-E10)*$D$27+(G10-F10)*$D$26+(H10-G10)*$D$25+(I10-H10)*$D$24-H69*'Assumptions'!I12))-((D10-0)*$D$29+(E10-D10)*$D$28+(F10-E10)*$D$27+(G10-F10)*$D$26+(H10-G10)*$D$25+(I10-H10)*$D$24)</x:f>
        <x:v>0</x:v>
      </x:c>
      <x:c r="J88" s="56" t="n">
        <x:f>(I69*'Assumptions'!J12)+(MAX(0,(D10-0)*$D$30+(E10-D10)*$D$29+(F10-E10)*$D$28+(G10-F10)*$D$27+(H10-G10)*$D$26+(I10-H10)*$D$25+(J10-I10)*$D$24-I69*'Assumptions'!J12))-((D10-0)*$D$30+(E10-D10)*$D$29+(F10-E10)*$D$28+(G10-F10)*$D$27+(H10-G10)*$D$26+(I10-H10)*$D$25+(J10-I10)*$D$24)</x:f>
        <x:v>0</x:v>
      </x:c>
      <x:c r="K88" s="1"/>
      <x:c r="L88" s="1"/>
      <x:c r="M88" s="1"/>
    </x:row>
    <x:row r="89" ht="22" customHeight="1">
      <x:c r="A89" s="1"/>
      <x:c r="B89" s="1"/>
      <x:c r="C89" s="1" t="str">
        <x:v>Provider balance check</x:v>
      </x:c>
      <x:c r="D89" s="55" t="n">
        <x:f>0+MAX(0,ROUNDUP(((D10-0)*$D$24)/$D$56,0)-0)-ROUNDUP(((D10-0)*$D$24)/$D$56,0)</x:f>
        <x:v>0</x:v>
      </x:c>
      <x:c r="E89" s="55" t="n">
        <x:f>D72*$D$57+MAX(0,ROUNDUP(((D10-0)*$D$25+(E10-D10)*$D$24)/$D$56,0)-D72*$D$57)-ROUNDUP(((D10-0)*$D$25+(E10-D10)*$D$24)/$D$56,0)</x:f>
        <x:v>0</x:v>
      </x:c>
      <x:c r="F89" s="55" t="n">
        <x:f>E72*$D$57+MAX(0,ROUNDUP(((D10-0)*$D$26+(E10-D10)*$D$25+(F10-E10)*$D$24)/$D$56,0)-E72*$D$57)-ROUNDUP(((D10-0)*$D$26+(E10-D10)*$D$25+(F10-E10)*$D$24)/$D$56,0)</x:f>
        <x:v>0</x:v>
      </x:c>
      <x:c r="G89" s="55" t="n">
        <x:f>F72*$D$57+MAX(0,ROUNDUP(((D10-0)*$D$27+(E10-D10)*$D$26+(F10-E10)*$D$25+(G10-F10)*$D$24)/$D$56,0)-F72*$D$57)-ROUNDUP(((D10-0)*$D$27+(E10-D10)*$D$26+(F10-E10)*$D$25+(G10-F10)*$D$24)/$D$56,0)</x:f>
        <x:v>0</x:v>
      </x:c>
      <x:c r="H89" s="55" t="n">
        <x:f>G72*$D$57+MAX(0,ROUNDUP(((D10-0)*$D$28+(E10-D10)*$D$27+(F10-E10)*$D$26+(G10-F10)*$D$25+(H10-G10)*$D$24)/$D$56,0)-G72*$D$57)-ROUNDUP(((D10-0)*$D$28+(E10-D10)*$D$27+(F10-E10)*$D$26+(G10-F10)*$D$25+(H10-G10)*$D$24)/$D$56,0)</x:f>
        <x:v>0</x:v>
      </x:c>
      <x:c r="I89" s="55" t="n">
        <x:f>H72*$D$57+MAX(0,ROUNDUP(((D10-0)*$D$29+(E10-D10)*$D$28+(F10-E10)*$D$27+(G10-F10)*$D$26+(H10-G10)*$D$25+(I10-H10)*$D$24)/$D$56,0)-H72*$D$57)-ROUNDUP(((D10-0)*$D$29+(E10-D10)*$D$28+(F10-E10)*$D$27+(G10-F10)*$D$26+(H10-G10)*$D$25+(I10-H10)*$D$24)/$D$56,0)</x:f>
        <x:v>0</x:v>
      </x:c>
      <x:c r="J89" s="55" t="n">
        <x:f>I72*$D$57+MAX(0,ROUNDUP(((D10-0)*$D$30+(E10-D10)*$D$29+(F10-E10)*$D$28+(G10-F10)*$D$27+(H10-G10)*$D$26+(I10-H10)*$D$25+(J10-I10)*$D$24)/$D$56,0)-I72*$D$57)-ROUNDUP(((D10-0)*$D$30+(E10-D10)*$D$29+(F10-E10)*$D$28+(G10-F10)*$D$27+(H10-G10)*$D$26+(I10-H10)*$D$25+(J10-I10)*$D$24)/$D$56,0)</x:f>
        <x:v>0</x:v>
      </x:c>
      <x:c r="K89" s="1"/>
      <x:c r="L89" s="1"/>
      <x:c r="M89" s="1"/>
    </x:row>
    <x:row r="90" ht="22" customHeight="1">
      <x:c r="A90" s="1"/>
      <x:c r="B90" s="1"/>
      <x:c r="C90" s="1"/>
      <x:c r="D90" s="6"/>
      <x:c r="E90" s="6"/>
      <x:c r="F90" s="6"/>
      <x:c r="G90" s="6"/>
      <x:c r="H90" s="6"/>
      <x:c r="I90" s="6"/>
      <x:c r="J90" s="6"/>
      <x:c r="K90" s="1"/>
      <x:c r="L90" s="1"/>
      <x:c r="M90" s="1"/>
    </x:row>
    <x:row r="91" ht="22" customHeight="1">
      <x:c r="A91" s="1"/>
      <x:c r="B91" s="1"/>
      <x:c r="C91" s="32" t="str">
        <x:v>Base case reaches 750 service areas across 40 states and 50 metro clusters in 2033. The launch sequence is conditional on market-level liquidity and contribution gates. Detailed New Jersey towns remain as pilot evidence; national cohorts drive the consolidated financial forecast.</x:v>
      </x:c>
      <x:c r="D91" s="33"/>
      <x:c r="E91" s="33"/>
      <x:c r="F91" s="33"/>
      <x:c r="G91" s="33"/>
      <x:c r="H91" s="33"/>
      <x:c r="I91" s="33"/>
      <x:c r="J91" s="33"/>
      <x:c r="K91" s="1"/>
      <x:c r="L91" s="1"/>
      <x:c r="M91" s="1"/>
    </x:row>
    <x:row r="92" ht="22" customHeight="1">
      <x:c r="A92" s="1"/>
      <x:c r="B92" s="1"/>
      <x:c r="C92" s="32"/>
      <x:c r="D92" s="33"/>
      <x:c r="E92" s="33"/>
      <x:c r="F92" s="33"/>
      <x:c r="G92" s="33"/>
      <x:c r="H92" s="33"/>
      <x:c r="I92" s="33"/>
      <x:c r="J92" s="33"/>
      <x:c r="K92" s="1"/>
      <x:c r="L92" s="1"/>
      <x:c r="M92" s="1"/>
    </x:row>
  </x:sheetData>
  <x:mergeCells>
    <x:mergeCell ref="C32:J33"/>
    <x:mergeCell ref="C91:J9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9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Named town expansion inputs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8" customHeight="1">
      <x:c r="A5" s="1"/>
      <x:c r="B5" s="1"/>
      <x:c r="C5" s="82" t="str">
        <x:v>Observed geography</x:v>
      </x:c>
      <x:c r="D5" s="82" t="str">
        <x:v>Households</x:v>
      </x:c>
      <x:c r="E5" s="82" t="str">
        <x:v>Owner share</x:v>
      </x:c>
      <x:c r="F5" s="82" t="str">
        <x:v>Median income</x:v>
      </x:c>
      <x:c r="G5" s="82" t="str">
        <x:v>Home value</x:v>
      </x:c>
      <x:c r="H5" s="82" t="str">
        <x:v>Census FIPS</x:v>
      </x:c>
      <x:c r="I5" s="82" t="str">
        <x:v>Period</x:v>
      </x:c>
      <x:c r="J5" s="82" t="str">
        <x:v>County</x:v>
      </x:c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1" t="str">
        <x:v>Barnegat</x:v>
      </x:c>
      <x:c r="D7" s="12" t="n">
        <x:v>10265</x:v>
      </x:c>
      <x:c r="E7" s="17" t="n">
        <x:v>0.88</x:v>
      </x:c>
      <x:c r="F7" s="23" t="n">
        <x:v>91540</x:v>
      </x:c>
      <x:c r="G7" s="23" t="n">
        <x:v>399000</x:v>
      </x:c>
      <x:c r="H7" s="41" t="str">
        <x:v>3402903050</x:v>
      </x:c>
      <x:c r="I7" s="12" t="str">
        <x:v>2020-2024</x:v>
      </x:c>
      <x:c r="J7" s="12" t="str">
        <x:v>Ocean</x:v>
      </x:c>
      <x:c r="K7" s="1"/>
      <x:c r="L7" s="1" t="str">
        <x:v>https://www.census.gov/quickfacts/fact/table/barnegattownshipoceancountynewjersey/PST045225</x:v>
      </x:c>
      <x:c r="M7" s="1"/>
    </x:row>
    <x:row r="8" ht="22" customHeight="1">
      <x:c r="A8" s="1"/>
      <x:c r="B8" s="1"/>
      <x:c r="C8" s="1" t="str">
        <x:v>Stafford</x:v>
      </x:c>
      <x:c r="D8" s="12" t="n">
        <x:v>12007</x:v>
      </x:c>
      <x:c r="E8" s="17" t="n">
        <x:v>0.903</x:v>
      </x:c>
      <x:c r="F8" s="23" t="n">
        <x:v>117612</x:v>
      </x:c>
      <x:c r="G8" s="23" t="n">
        <x:v>426200</x:v>
      </x:c>
      <x:c r="H8" s="41" t="str">
        <x:v>3402970320</x:v>
      </x:c>
      <x:c r="I8" s="12" t="str">
        <x:v>2020-2024</x:v>
      </x:c>
      <x:c r="J8" s="12" t="str">
        <x:v>Ocean</x:v>
      </x:c>
      <x:c r="K8" s="1"/>
      <x:c r="L8" s="1" t="str">
        <x:v>https://www.census.gov/quickfacts/fact/table/staffordtownshipoceancountynewjersey/PST045225</x:v>
      </x:c>
      <x:c r="M8" s="1"/>
    </x:row>
    <x:row r="9" ht="22" customHeight="1">
      <x:c r="A9" s="1"/>
      <x:c r="B9" s="1"/>
      <x:c r="C9" s="1" t="str">
        <x:v>Lacey</x:v>
      </x:c>
      <x:c r="D9" s="12" t="n">
        <x:v>11338</x:v>
      </x:c>
      <x:c r="E9" s="17" t="n">
        <x:v>0.881</x:v>
      </x:c>
      <x:c r="F9" s="23" t="n">
        <x:v>102624</x:v>
      </x:c>
      <x:c r="G9" s="23" t="n">
        <x:v>409400</x:v>
      </x:c>
      <x:c r="H9" s="41" t="str">
        <x:v>3402937380</x:v>
      </x:c>
      <x:c r="I9" s="12" t="str">
        <x:v>2020-2024</x:v>
      </x:c>
      <x:c r="J9" s="12" t="str">
        <x:v>Ocean</x:v>
      </x:c>
      <x:c r="K9" s="1"/>
      <x:c r="L9" s="1" t="str">
        <x:v>https://www.census.gov/quickfacts/fact/table/laceytownshipoceancountynewjersey/PST045225</x:v>
      </x:c>
      <x:c r="M9" s="1"/>
    </x:row>
    <x:row r="10" ht="22" customHeight="1">
      <x:c r="A10" s="1"/>
      <x:c r="B10" s="1"/>
      <x:c r="C10" s="1" t="str">
        <x:v>Ocean / Waretown</x:v>
      </x:c>
      <x:c r="D10" s="12" t="n">
        <x:v>3908</x:v>
      </x:c>
      <x:c r="E10" s="17" t="n">
        <x:v>0.883</x:v>
      </x:c>
      <x:c r="F10" s="23" t="n">
        <x:v>100524</x:v>
      </x:c>
      <x:c r="G10" s="23" t="n">
        <x:v>475200</x:v>
      </x:c>
      <x:c r="H10" s="41" t="str">
        <x:v>3402954300</x:v>
      </x:c>
      <x:c r="I10" s="12" t="str">
        <x:v>2020-2024</x:v>
      </x:c>
      <x:c r="J10" s="12" t="str">
        <x:v>Ocean</x:v>
      </x:c>
      <x:c r="K10" s="1"/>
      <x:c r="L10" s="1" t="str">
        <x:v>https://www.census.gov/quickfacts/fact/table/oceantownshipoceancountynewjersey/PST045225</x:v>
      </x:c>
      <x:c r="M10" s="1"/>
    </x:row>
    <x:row r="11" ht="22" customHeight="1">
      <x:c r="A11" s="1"/>
      <x:c r="B11" s="1"/>
      <x:c r="C11" s="1" t="str">
        <x:v>Berkeley</x:v>
      </x:c>
      <x:c r="D11" s="12" t="n">
        <x:v>21950</x:v>
      </x:c>
      <x:c r="E11" s="17" t="n">
        <x:v>0.889</x:v>
      </x:c>
      <x:c r="F11" s="23" t="n">
        <x:v>66008</x:v>
      </x:c>
      <x:c r="G11" s="23" t="n">
        <x:v>310000</x:v>
      </x:c>
      <x:c r="H11" s="41" t="str">
        <x:v>3402905305</x:v>
      </x:c>
      <x:c r="I11" s="12" t="str">
        <x:v>2020-2024</x:v>
      </x:c>
      <x:c r="J11" s="12" t="str">
        <x:v>Ocean</x:v>
      </x:c>
      <x:c r="K11" s="1"/>
      <x:c r="L11" s="1" t="str">
        <x:v>https://www.census.gov/quickfacts/fact/table/berkeleytownshipoceancountynewjersey/PST045225</x:v>
      </x:c>
      <x:c r="M11" s="1"/>
    </x:row>
    <x:row r="12" ht="22" customHeight="1">
      <x:c r="A12" s="1"/>
      <x:c r="B12" s="1"/>
      <x:c r="C12" s="1" t="str">
        <x:v>Toms River</x:v>
      </x:c>
      <x:c r="D12" s="12" t="n">
        <x:v>38047</x:v>
      </x:c>
      <x:c r="E12" s="17" t="n">
        <x:v>0.821</x:v>
      </x:c>
      <x:c r="F12" s="23" t="n">
        <x:v>99547</x:v>
      </x:c>
      <x:c r="G12" s="23" t="n">
        <x:v>416700</x:v>
      </x:c>
      <x:c r="H12" s="41" t="str">
        <x:v>3402973125</x:v>
      </x:c>
      <x:c r="I12" s="12" t="str">
        <x:v>2020-2024</x:v>
      </x:c>
      <x:c r="J12" s="12" t="str">
        <x:v>Ocean</x:v>
      </x:c>
      <x:c r="K12" s="1"/>
      <x:c r="L12" s="1" t="str">
        <x:v>https://www.census.gov/quickfacts/fact/table/tomsrivertownshipoceancountynewjersey/PST045225</x:v>
      </x:c>
      <x:c r="M12" s="1"/>
    </x:row>
    <x:row r="13" ht="22" customHeight="1">
      <x:c r="A13" s="1"/>
      <x:c r="B13" s="1"/>
      <x:c r="C13" s="1" t="str">
        <x:v>Brick</x:v>
      </x:c>
      <x:c r="D13" s="12" t="n">
        <x:v>30289</x:v>
      </x:c>
      <x:c r="E13" s="17" t="n">
        <x:v>0.822</x:v>
      </x:c>
      <x:c r="F13" s="23" t="n">
        <x:v>106130</x:v>
      </x:c>
      <x:c r="G13" s="23" t="n">
        <x:v>410600</x:v>
      </x:c>
      <x:c r="H13" s="41" t="str">
        <x:v>3402907420</x:v>
      </x:c>
      <x:c r="I13" s="12" t="str">
        <x:v>2020-2024</x:v>
      </x:c>
      <x:c r="J13" s="12" t="str">
        <x:v>Ocean</x:v>
      </x:c>
      <x:c r="K13" s="1"/>
      <x:c r="L13" s="1" t="str">
        <x:v>https://www.census.gov/quickfacts/fact/table/bricktownshipoceancountynewjersey/PST045225</x:v>
      </x:c>
      <x:c r="M13" s="1"/>
    </x:row>
    <x:row r="14" ht="22" customHeight="1">
      <x:c r="A14" s="1"/>
      <x:c r="B14" s="1"/>
      <x:c r="C14" s="1" t="str">
        <x:v>Jackson</x:v>
      </x:c>
      <x:c r="D14" s="12" t="n">
        <x:v>20633</x:v>
      </x:c>
      <x:c r="E14" s="17" t="n">
        <x:v>0.87</x:v>
      </x:c>
      <x:c r="F14" s="23" t="n">
        <x:v>115511</x:v>
      </x:c>
      <x:c r="G14" s="23" t="n">
        <x:v>485700</x:v>
      </x:c>
      <x:c r="H14" s="41" t="str">
        <x:v>3402934680</x:v>
      </x:c>
      <x:c r="I14" s="12" t="str">
        <x:v>2020-2024</x:v>
      </x:c>
      <x:c r="J14" s="12" t="str">
        <x:v>Ocean</x:v>
      </x:c>
      <x:c r="K14" s="1"/>
      <x:c r="L14" s="1" t="str">
        <x:v>https://www.census.gov/quickfacts/fact/table/jacksontownshipoceancountynewjersey/PST045225</x:v>
      </x:c>
      <x:c r="M14" s="1"/>
    </x:row>
    <x:row r="15" ht="22" customHeight="1">
      <x:c r="A15" s="1"/>
      <x:c r="B15" s="1"/>
      <x:c r="C15" s="1" t="str">
        <x:v>Howell</x:v>
      </x:c>
      <x:c r="D15" s="12" t="n">
        <x:v>19134</x:v>
      </x:c>
      <x:c r="E15" s="17" t="n">
        <x:v>0.888</x:v>
      </x:c>
      <x:c r="F15" s="23" t="n">
        <x:v>134854</x:v>
      </x:c>
      <x:c r="G15" s="23" t="n">
        <x:v>507200</x:v>
      </x:c>
      <x:c r="H15" s="41" t="str">
        <x:v>3402533300</x:v>
      </x:c>
      <x:c r="I15" s="12" t="str">
        <x:v>2020-2024</x:v>
      </x:c>
      <x:c r="J15" s="12" t="str">
        <x:v>Monmouth</x:v>
      </x:c>
      <x:c r="K15" s="1"/>
      <x:c r="L15" s="1" t="str">
        <x:v>https://www.census.gov/quickfacts/fact/table/howelltownshipmonmouthcountynewjersey/PST045225</x:v>
      </x:c>
      <x:c r="M15" s="1"/>
    </x:row>
    <x:row r="16" ht="22" customHeight="1">
      <x:c r="A16" s="1"/>
      <x:c r="B16" s="1"/>
      <x:c r="C16" s="1" t="str">
        <x:v>Wall</x:v>
      </x:c>
      <x:c r="D16" s="12" t="n">
        <x:v>10124</x:v>
      </x:c>
      <x:c r="E16" s="17" t="n">
        <x:v>0.834</x:v>
      </x:c>
      <x:c r="F16" s="23" t="n">
        <x:v>142768</x:v>
      </x:c>
      <x:c r="G16" s="23" t="n">
        <x:v>720400</x:v>
      </x:c>
      <x:c r="H16" s="41" t="str">
        <x:v>3402576460</x:v>
      </x:c>
      <x:c r="I16" s="12" t="str">
        <x:v>2020-2024</x:v>
      </x:c>
      <x:c r="J16" s="12" t="str">
        <x:v>Monmouth</x:v>
      </x:c>
      <x:c r="K16" s="1"/>
      <x:c r="L16" s="1" t="str">
        <x:v>https://www.census.gov/quickfacts/fact/table/walltownshipmonmouthcountynewjersey/PST045225</x:v>
      </x:c>
      <x:c r="M16" s="1"/>
    </x:row>
    <x:row r="17" ht="22" customHeight="1">
      <x:c r="A17" s="1"/>
      <x:c r="B17" s="1"/>
      <x:c r="C17" s="1" t="str">
        <x:v>Middletown</x:v>
      </x:c>
      <x:c r="D17" s="12" t="n">
        <x:v>25211</x:v>
      </x:c>
      <x:c r="E17" s="17" t="n">
        <x:v>0.857</x:v>
      </x:c>
      <x:c r="F17" s="23" t="n">
        <x:v>141810</x:v>
      </x:c>
      <x:c r="G17" s="23" t="n">
        <x:v>608300</x:v>
      </x:c>
      <x:c r="H17" s="41" t="str">
        <x:v>3402545990</x:v>
      </x:c>
      <x:c r="I17" s="12" t="str">
        <x:v>2020-2024</x:v>
      </x:c>
      <x:c r="J17" s="12" t="str">
        <x:v>Monmouth</x:v>
      </x:c>
      <x:c r="K17" s="1"/>
      <x:c r="L17" s="1" t="str">
        <x:v>https://www.census.gov/quickfacts/fact/table/middletowntownshipmonmouthcountynewjersey/PST045225</x:v>
      </x:c>
      <x:c r="M17" s="1"/>
    </x:row>
    <x:row r="18" ht="22" customHeight="1">
      <x:c r="A18" s="1"/>
      <x:c r="B18" s="1"/>
      <x:c r="C18" s="1" t="str">
        <x:v>Holmdel</x:v>
      </x:c>
      <x:c r="D18" s="12" t="n">
        <x:v>6429</x:v>
      </x:c>
      <x:c r="E18" s="17" t="n">
        <x:v>0.916</x:v>
      </x:c>
      <x:c r="F18" s="23" t="n">
        <x:v>165013</x:v>
      </x:c>
      <x:c r="G18" s="23" t="n">
        <x:v>843000</x:v>
      </x:c>
      <x:c r="H18" s="41" t="str">
        <x:v>3402532640</x:v>
      </x:c>
      <x:c r="I18" s="12" t="str">
        <x:v>2020-2024</x:v>
      </x:c>
      <x:c r="J18" s="12" t="str">
        <x:v>Monmouth</x:v>
      </x:c>
      <x:c r="K18" s="1"/>
      <x:c r="L18" s="1" t="str">
        <x:v>https://www.census.gov/quickfacts/fact/table/holmdeltownshipmonmouthcountynewjersey/PST045225</x:v>
      </x:c>
      <x:c r="M18" s="1"/>
    </x:row>
    <x:row r="19" ht="22" customHeight="1">
      <x:c r="A19" s="1"/>
      <x:c r="B19" s="1"/>
      <x:c r="C19" s="1" t="str">
        <x:v>Colts Neck</x:v>
      </x:c>
      <x:c r="D19" s="12" t="n">
        <x:v>3610</x:v>
      </x:c>
      <x:c r="E19" s="17" t="n">
        <x:v>0.943</x:v>
      </x:c>
      <x:c r="F19" s="23" t="n">
        <x:v>199573</x:v>
      </x:c>
      <x:c r="G19" s="23" t="n">
        <x:v>917200</x:v>
      </x:c>
      <x:c r="H19" s="41" t="str">
        <x:v>3402514560</x:v>
      </x:c>
      <x:c r="I19" s="12" t="str">
        <x:v>2020-2024</x:v>
      </x:c>
      <x:c r="J19" s="12" t="str">
        <x:v>Monmouth</x:v>
      </x:c>
      <x:c r="K19" s="1"/>
      <x:c r="L19" s="1" t="str">
        <x:v>https://www.census.gov/quickfacts/fact/table/coltsnecktownshipmonmouthcountynewjersey/PST045225</x:v>
      </x:c>
      <x:c r="M19" s="1"/>
    </x:row>
    <x:row r="20" ht="22" customHeight="1">
      <x:c r="A20" s="1"/>
      <x:c r="B20" s="1"/>
      <x:c r="C20" s="1" t="str">
        <x:v>Rumson</x:v>
      </x:c>
      <x:c r="D20" s="12" t="n">
        <x:v>2451</x:v>
      </x:c>
      <x:c r="E20" s="17" t="n">
        <x:v>0.929</x:v>
      </x:c>
      <x:c r="F20" s="45" t="n">
        <x:v>250000</x:v>
      </x:c>
      <x:c r="G20" s="23" t="n">
        <x:v>1679300</x:v>
      </x:c>
      <x:c r="H20" s="41" t="str">
        <x:v>3465130</x:v>
      </x:c>
      <x:c r="I20" s="12" t="str">
        <x:v>2020-2024</x:v>
      </x:c>
      <x:c r="J20" s="12" t="str">
        <x:v>Monmouth</x:v>
      </x:c>
      <x:c r="K20" s="1"/>
      <x:c r="L20" s="1" t="str">
        <x:v>https://www.census.gov/quickfacts/fact/table/rumsonboroughnewjersey/PST045225</x:v>
      </x:c>
      <x:c r="M20" s="1"/>
    </x:row>
    <x:row r="21" ht="22" customHeight="1">
      <x:c r="A21" s="1"/>
      <x:c r="B21" s="1"/>
      <x:c r="C21" s="1"/>
      <x:c r="D21" s="6"/>
      <x:c r="E21" s="6"/>
      <x:c r="F21" s="6"/>
      <x:c r="G21" s="6"/>
      <x:c r="H21" s="6"/>
      <x:c r="I21" s="6"/>
      <x:c r="J21" s="6"/>
      <x:c r="K21" s="1"/>
      <x:c r="L21" s="1"/>
      <x:c r="M21" s="1"/>
    </x:row>
    <x:row r="22" ht="22" customHeight="1">
      <x:c r="A22" s="1"/>
      <x:c r="B22" s="1"/>
      <x:c r="C22" s="1"/>
      <x:c r="D22" s="6"/>
      <x:c r="E22" s="6"/>
      <x:c r="F22" s="6"/>
      <x:c r="G22" s="6"/>
      <x:c r="H22" s="6"/>
      <x:c r="I22" s="6"/>
      <x:c r="J22" s="6"/>
      <x:c r="K22" s="1"/>
      <x:c r="L22" s="1"/>
      <x:c r="M22" s="1"/>
    </x:row>
    <x:row r="23" ht="22" customHeight="1">
      <x:c r="A23" s="1"/>
      <x:c r="B23" s="1"/>
      <x:c r="C23" s="1"/>
      <x:c r="D23" s="6"/>
      <x:c r="E23" s="6"/>
      <x:c r="F23" s="6"/>
      <x:c r="G23" s="6"/>
      <x:c r="H23" s="6"/>
      <x:c r="I23" s="6"/>
      <x:c r="J23" s="6"/>
      <x:c r="K23" s="1"/>
      <x:c r="L23" s="1"/>
      <x:c r="M23" s="1"/>
    </x:row>
    <x:row r="24" ht="38" customHeight="1">
      <x:c r="A24" s="1"/>
      <x:c r="B24" s="1"/>
      <x:c r="C24" s="37" t="str">
        <x:v>Planning / editable</x:v>
      </x:c>
      <x:c r="D24" s="39" t="str">
        <x:v>Launch year</x:v>
      </x:c>
      <x:c r="E24" s="39" t="str">
        <x:v>Lawn eligible</x:v>
      </x:c>
      <x:c r="F24" s="39" t="str">
        <x:v>Hire service</x:v>
      </x:c>
      <x:c r="G24" s="39" t="str">
        <x:v>Price tier 1-3</x:v>
      </x:c>
      <x:c r="H24" s="39" t="str">
        <x:v>Large lots</x:v>
      </x:c>
      <x:c r="I24" s="39" t="str">
        <x:v>Very large lots</x:v>
      </x:c>
      <x:c r="J24" s="39" t="str">
        <x:v>Launch supply</x:v>
      </x:c>
      <x:c r="K24" s="1"/>
      <x:c r="L24" s="1"/>
      <x:c r="M24" s="1"/>
    </x:row>
    <x:row r="25" ht="22" customHeight="1">
      <x:c r="A25" s="1"/>
      <x:c r="B25" s="1"/>
      <x:c r="C25" s="1"/>
      <x:c r="D25" s="6"/>
      <x:c r="E25" s="6"/>
      <x:c r="F25" s="6"/>
      <x:c r="G25" s="6"/>
      <x:c r="H25" s="6"/>
      <x:c r="I25" s="6"/>
      <x:c r="J25" s="6"/>
      <x:c r="K25" s="1"/>
      <x:c r="L25" s="1"/>
      <x:c r="M25" s="1"/>
    </x:row>
    <x:row r="26" ht="22" customHeight="1">
      <x:c r="A26" s="1"/>
      <x:c r="B26" s="1"/>
      <x:c r="C26" s="1" t="str">
        <x:v>Barnegat</x:v>
      </x:c>
      <x:c r="D26" s="43" t="n">
        <x:v>2027</x:v>
      </x:c>
      <x:c r="E26" s="42" t="n">
        <x:v>0.75</x:v>
      </x:c>
      <x:c r="F26" s="42" t="n">
        <x:v>0.45</x:v>
      </x:c>
      <x:c r="G26" s="12" t="n">
        <x:v>1</x:v>
      </x:c>
      <x:c r="H26" s="42" t="n">
        <x:v>0.25</x:v>
      </x:c>
      <x:c r="I26" s="42" t="n">
        <x:v>0.05</x:v>
      </x:c>
      <x:c r="J26" s="12" t="n">
        <x:v>6</x:v>
      </x:c>
      <x:c r="K26" s="1"/>
      <x:c r="L26" s="1"/>
      <x:c r="M26" s="1"/>
    </x:row>
    <x:row r="27" ht="22" customHeight="1">
      <x:c r="A27" s="1"/>
      <x:c r="B27" s="1"/>
      <x:c r="C27" s="1" t="str">
        <x:v>Stafford</x:v>
      </x:c>
      <x:c r="D27" s="43" t="n">
        <x:v>2028</x:v>
      </x:c>
      <x:c r="E27" s="42" t="n">
        <x:v>0.8</x:v>
      </x:c>
      <x:c r="F27" s="42" t="n">
        <x:v>0.55</x:v>
      </x:c>
      <x:c r="G27" s="12" t="n">
        <x:v>2</x:v>
      </x:c>
      <x:c r="H27" s="42" t="n">
        <x:v>0.3</x:v>
      </x:c>
      <x:c r="I27" s="42" t="n">
        <x:v>0.05</x:v>
      </x:c>
      <x:c r="J27" s="12" t="n">
        <x:v>8</x:v>
      </x:c>
      <x:c r="K27" s="1"/>
      <x:c r="L27" s="1"/>
      <x:c r="M27" s="1"/>
    </x:row>
    <x:row r="28" ht="22" customHeight="1">
      <x:c r="A28" s="1"/>
      <x:c r="B28" s="1"/>
      <x:c r="C28" s="1" t="str">
        <x:v>Lacey</x:v>
      </x:c>
      <x:c r="D28" s="43" t="n">
        <x:v>2028</x:v>
      </x:c>
      <x:c r="E28" s="42" t="n">
        <x:v>0.8</x:v>
      </x:c>
      <x:c r="F28" s="42" t="n">
        <x:v>0.45</x:v>
      </x:c>
      <x:c r="G28" s="12" t="n">
        <x:v>1</x:v>
      </x:c>
      <x:c r="H28" s="42" t="n">
        <x:v>0.3</x:v>
      </x:c>
      <x:c r="I28" s="42" t="n">
        <x:v>0.05</x:v>
      </x:c>
      <x:c r="J28" s="12" t="n">
        <x:v>7</x:v>
      </x:c>
      <x:c r="K28" s="1"/>
      <x:c r="L28" s="1"/>
      <x:c r="M28" s="1"/>
    </x:row>
    <x:row r="29" ht="22" customHeight="1">
      <x:c r="A29" s="1"/>
      <x:c r="B29" s="1"/>
      <x:c r="C29" s="1" t="str">
        <x:v>Ocean / Waretown</x:v>
      </x:c>
      <x:c r="D29" s="43" t="n">
        <x:v>2028</x:v>
      </x:c>
      <x:c r="E29" s="42" t="n">
        <x:v>0.75</x:v>
      </x:c>
      <x:c r="F29" s="42" t="n">
        <x:v>0.45</x:v>
      </x:c>
      <x:c r="G29" s="12" t="n">
        <x:v>1</x:v>
      </x:c>
      <x:c r="H29" s="42" t="n">
        <x:v>0.25</x:v>
      </x:c>
      <x:c r="I29" s="42" t="n">
        <x:v>0.05</x:v>
      </x:c>
      <x:c r="J29" s="12" t="n">
        <x:v>3</x:v>
      </x:c>
      <x:c r="K29" s="1"/>
      <x:c r="L29" s="1"/>
      <x:c r="M29" s="1"/>
    </x:row>
    <x:row r="30" ht="22" customHeight="1">
      <x:c r="A30" s="1"/>
      <x:c r="B30" s="1"/>
      <x:c r="C30" s="1" t="str">
        <x:v>Berkeley</x:v>
      </x:c>
      <x:c r="D30" s="43" t="n">
        <x:v>2029</x:v>
      </x:c>
      <x:c r="E30" s="42" t="n">
        <x:v>0.6</x:v>
      </x:c>
      <x:c r="F30" s="42" t="n">
        <x:v>0.35</x:v>
      </x:c>
      <x:c r="G30" s="12" t="n">
        <x:v>1</x:v>
      </x:c>
      <x:c r="H30" s="42" t="n">
        <x:v>0.15</x:v>
      </x:c>
      <x:c r="I30" s="42" t="n">
        <x:v>0.02</x:v>
      </x:c>
      <x:c r="J30" s="12" t="n">
        <x:v>8</x:v>
      </x:c>
      <x:c r="K30" s="1"/>
      <x:c r="L30" s="1"/>
      <x:c r="M30" s="1"/>
    </x:row>
    <x:row r="31" ht="22" customHeight="1">
      <x:c r="A31" s="1"/>
      <x:c r="B31" s="1"/>
      <x:c r="C31" s="1" t="str">
        <x:v>Toms River</x:v>
      </x:c>
      <x:c r="D31" s="43" t="n">
        <x:v>2029</x:v>
      </x:c>
      <x:c r="E31" s="42" t="n">
        <x:v>0.75</x:v>
      </x:c>
      <x:c r="F31" s="42" t="n">
        <x:v>0.45</x:v>
      </x:c>
      <x:c r="G31" s="12" t="n">
        <x:v>1</x:v>
      </x:c>
      <x:c r="H31" s="42" t="n">
        <x:v>0.25</x:v>
      </x:c>
      <x:c r="I31" s="42" t="n">
        <x:v>0.05</x:v>
      </x:c>
      <x:c r="J31" s="12" t="n">
        <x:v>15</x:v>
      </x:c>
      <x:c r="K31" s="1"/>
      <x:c r="L31" s="1"/>
      <x:c r="M31" s="1"/>
    </x:row>
    <x:row r="32" ht="22" customHeight="1">
      <x:c r="A32" s="1"/>
      <x:c r="B32" s="1"/>
      <x:c r="C32" s="1" t="str">
        <x:v>Brick</x:v>
      </x:c>
      <x:c r="D32" s="43" t="n">
        <x:v>2030</x:v>
      </x:c>
      <x:c r="E32" s="42" t="n">
        <x:v>0.75</x:v>
      </x:c>
      <x:c r="F32" s="42" t="n">
        <x:v>0.45</x:v>
      </x:c>
      <x:c r="G32" s="12" t="n">
        <x:v>1</x:v>
      </x:c>
      <x:c r="H32" s="42" t="n">
        <x:v>0.2</x:v>
      </x:c>
      <x:c r="I32" s="42" t="n">
        <x:v>0.03</x:v>
      </x:c>
      <x:c r="J32" s="12" t="n">
        <x:v>12</x:v>
      </x:c>
      <x:c r="K32" s="1"/>
      <x:c r="L32" s="1"/>
      <x:c r="M32" s="1"/>
    </x:row>
    <x:row r="33" ht="22" customHeight="1">
      <x:c r="A33" s="1"/>
      <x:c r="B33" s="1"/>
      <x:c r="C33" s="1" t="str">
        <x:v>Jackson</x:v>
      </x:c>
      <x:c r="D33" s="43" t="n">
        <x:v>2030</x:v>
      </x:c>
      <x:c r="E33" s="42" t="n">
        <x:v>0.85</x:v>
      </x:c>
      <x:c r="F33" s="42" t="n">
        <x:v>0.55</x:v>
      </x:c>
      <x:c r="G33" s="12" t="n">
        <x:v>2</x:v>
      </x:c>
      <x:c r="H33" s="42" t="n">
        <x:v>0.4</x:v>
      </x:c>
      <x:c r="I33" s="42" t="n">
        <x:v>0.15</x:v>
      </x:c>
      <x:c r="J33" s="12" t="n">
        <x:v>12</x:v>
      </x:c>
      <x:c r="K33" s="1"/>
      <x:c r="L33" s="1"/>
      <x:c r="M33" s="1"/>
    </x:row>
    <x:row r="34" ht="22" customHeight="1">
      <x:c r="A34" s="1"/>
      <x:c r="B34" s="1"/>
      <x:c r="C34" s="1" t="str">
        <x:v>Howell</x:v>
      </x:c>
      <x:c r="D34" s="43" t="n">
        <x:v>2031</x:v>
      </x:c>
      <x:c r="E34" s="42" t="n">
        <x:v>0.85</x:v>
      </x:c>
      <x:c r="F34" s="42" t="n">
        <x:v>0.55</x:v>
      </x:c>
      <x:c r="G34" s="12" t="n">
        <x:v>2</x:v>
      </x:c>
      <x:c r="H34" s="42" t="n">
        <x:v>0.35</x:v>
      </x:c>
      <x:c r="I34" s="42" t="n">
        <x:v>0.1</x:v>
      </x:c>
      <x:c r="J34" s="12" t="n">
        <x:v>12</x:v>
      </x:c>
      <x:c r="K34" s="1"/>
      <x:c r="L34" s="1"/>
      <x:c r="M34" s="1"/>
    </x:row>
    <x:row r="35" ht="22" customHeight="1">
      <x:c r="A35" s="1"/>
      <x:c r="B35" s="1"/>
      <x:c r="C35" s="1" t="str">
        <x:v>Wall</x:v>
      </x:c>
      <x:c r="D35" s="43" t="n">
        <x:v>2031</x:v>
      </x:c>
      <x:c r="E35" s="42" t="n">
        <x:v>0.8</x:v>
      </x:c>
      <x:c r="F35" s="42" t="n">
        <x:v>0.55</x:v>
      </x:c>
      <x:c r="G35" s="12" t="n">
        <x:v>2</x:v>
      </x:c>
      <x:c r="H35" s="42" t="n">
        <x:v>0.35</x:v>
      </x:c>
      <x:c r="I35" s="42" t="n">
        <x:v>0.15</x:v>
      </x:c>
      <x:c r="J35" s="12" t="n">
        <x:v>7</x:v>
      </x:c>
      <x:c r="K35" s="1"/>
      <x:c r="L35" s="1"/>
      <x:c r="M35" s="1"/>
    </x:row>
    <x:row r="36" ht="22" customHeight="1">
      <x:c r="A36" s="1"/>
      <x:c r="B36" s="1"/>
      <x:c r="C36" s="1" t="str">
        <x:v>Middletown</x:v>
      </x:c>
      <x:c r="D36" s="43" t="n">
        <x:v>2032</x:v>
      </x:c>
      <x:c r="E36" s="42" t="n">
        <x:v>0.8</x:v>
      </x:c>
      <x:c r="F36" s="42" t="n">
        <x:v>0.55</x:v>
      </x:c>
      <x:c r="G36" s="12" t="n">
        <x:v>2</x:v>
      </x:c>
      <x:c r="H36" s="42" t="n">
        <x:v>0.35</x:v>
      </x:c>
      <x:c r="I36" s="42" t="n">
        <x:v>0.1</x:v>
      </x:c>
      <x:c r="J36" s="12" t="n">
        <x:v>14</x:v>
      </x:c>
      <x:c r="K36" s="1"/>
      <x:c r="L36" s="1"/>
      <x:c r="M36" s="1"/>
    </x:row>
    <x:row r="37" ht="22" customHeight="1">
      <x:c r="A37" s="1"/>
      <x:c r="B37" s="1"/>
      <x:c r="C37" s="1" t="str">
        <x:v>Holmdel</x:v>
      </x:c>
      <x:c r="D37" s="43" t="n">
        <x:v>2032</x:v>
      </x:c>
      <x:c r="E37" s="42" t="n">
        <x:v>0.85</x:v>
      </x:c>
      <x:c r="F37" s="42" t="n">
        <x:v>0.65</x:v>
      </x:c>
      <x:c r="G37" s="12" t="n">
        <x:v>3</x:v>
      </x:c>
      <x:c r="H37" s="42" t="n">
        <x:v>0.4</x:v>
      </x:c>
      <x:c r="I37" s="42" t="n">
        <x:v>0.25</x:v>
      </x:c>
      <x:c r="J37" s="12" t="n">
        <x:v>6</x:v>
      </x:c>
      <x:c r="K37" s="1"/>
      <x:c r="L37" s="1"/>
      <x:c r="M37" s="1"/>
    </x:row>
    <x:row r="38" ht="22" customHeight="1">
      <x:c r="A38" s="1"/>
      <x:c r="B38" s="1"/>
      <x:c r="C38" s="1" t="str">
        <x:v>Colts Neck</x:v>
      </x:c>
      <x:c r="D38" s="43" t="n">
        <x:v>2033</x:v>
      </x:c>
      <x:c r="E38" s="42" t="n">
        <x:v>0.9</x:v>
      </x:c>
      <x:c r="F38" s="42" t="n">
        <x:v>0.65</x:v>
      </x:c>
      <x:c r="G38" s="12" t="n">
        <x:v>3</x:v>
      </x:c>
      <x:c r="H38" s="42" t="n">
        <x:v>0.4</x:v>
      </x:c>
      <x:c r="I38" s="42" t="n">
        <x:v>0.4</x:v>
      </x:c>
      <x:c r="J38" s="12" t="n">
        <x:v>4</x:v>
      </x:c>
      <x:c r="K38" s="1"/>
      <x:c r="L38" s="1"/>
      <x:c r="M38" s="1"/>
    </x:row>
    <x:row r="39" ht="22" customHeight="1">
      <x:c r="A39" s="1"/>
      <x:c r="B39" s="1"/>
      <x:c r="C39" s="1" t="str">
        <x:v>Rumson</x:v>
      </x:c>
      <x:c r="D39" s="43" t="n">
        <x:v>2033</x:v>
      </x:c>
      <x:c r="E39" s="42" t="n">
        <x:v>0.85</x:v>
      </x:c>
      <x:c r="F39" s="42" t="n">
        <x:v>0.65</x:v>
      </x:c>
      <x:c r="G39" s="12" t="n">
        <x:v>3</x:v>
      </x:c>
      <x:c r="H39" s="42" t="n">
        <x:v>0.4</x:v>
      </x:c>
      <x:c r="I39" s="42" t="n">
        <x:v>0.2</x:v>
      </x:c>
      <x:c r="J39" s="12" t="n">
        <x:v>3</x:v>
      </x:c>
      <x:c r="K39" s="1"/>
      <x:c r="L39" s="1" t="str">
        <x:v>Census income is top-coded at $250,000+. Numeric value is the lower bound; it is not an exact median.</x:v>
      </x:c>
      <x:c r="M39" s="1"/>
    </x:row>
    <x:row r="40" ht="22" customHeight="1">
      <x:c r="A40" s="1"/>
      <x:c r="B40" s="1"/>
      <x:c r="C40" s="1"/>
      <x:c r="D40" s="6"/>
      <x:c r="E40" s="6"/>
      <x:c r="F40" s="6"/>
      <x:c r="G40" s="6"/>
      <x:c r="H40" s="6"/>
      <x:c r="I40" s="6"/>
      <x:c r="J40" s="6"/>
      <x:c r="K40" s="1"/>
      <x:c r="L40" s="1"/>
      <x:c r="M40" s="1"/>
    </x:row>
    <x:row r="41" ht="22" customHeight="1">
      <x:c r="A41" s="1"/>
      <x:c r="B41" s="1"/>
      <x:c r="C41" s="1"/>
      <x:c r="D41" s="6"/>
      <x:c r="E41" s="6"/>
      <x:c r="F41" s="6"/>
      <x:c r="G41" s="6"/>
      <x:c r="H41" s="6"/>
      <x:c r="I41" s="6"/>
      <x:c r="J41" s="6"/>
      <x:c r="K41" s="1"/>
      <x:c r="L41" s="1"/>
      <x:c r="M41" s="1"/>
    </x:row>
    <x:row r="42" ht="22" customHeight="1">
      <x:c r="A42" s="1"/>
      <x:c r="B42" s="1"/>
      <x:c r="C42" s="1"/>
      <x:c r="D42" s="6"/>
      <x:c r="E42" s="6"/>
      <x:c r="F42" s="6"/>
      <x:c r="G42" s="6"/>
      <x:c r="H42" s="6"/>
      <x:c r="I42" s="6"/>
      <x:c r="J42" s="6"/>
      <x:c r="K42" s="1"/>
      <x:c r="L42" s="1"/>
      <x:c r="M42" s="1"/>
    </x:row>
    <x:row r="43" ht="38" customHeight="1">
      <x:c r="A43" s="1"/>
      <x:c r="B43" s="1"/>
      <x:c r="C43" s="37" t="str">
        <x:v>Planning / editable</x:v>
      </x:c>
      <x:c r="D43" s="39" t="str">
        <x:v>Recruit / year</x:v>
      </x:c>
      <x:c r="E43" s="39" t="str">
        <x:v>Supply ceiling</x:v>
      </x:c>
      <x:c r="F43" s="39" t="str">
        <x:v>2027 cash CAC</x:v>
      </x:c>
      <x:c r="G43" s="39" t="str">
        <x:v>Launch spend</x:v>
      </x:c>
      <x:c r="H43" s="39" t="str">
        <x:v>Annual local ops</x:v>
      </x:c>
      <x:c r="I43" s="39" t="str">
        <x:v>Typical lots</x:v>
      </x:c>
      <x:c r="J43" s="39" t="str">
        <x:v>Eligible pool</x:v>
      </x:c>
      <x:c r="K43" s="1"/>
      <x:c r="L43" s="1"/>
      <x:c r="M43" s="1"/>
    </x:row>
    <x:row r="44" ht="22" customHeight="1">
      <x:c r="A44" s="1"/>
      <x:c r="B44" s="1"/>
      <x:c r="C44" s="1"/>
      <x:c r="D44" s="6"/>
      <x:c r="E44" s="6"/>
      <x:c r="F44" s="6"/>
      <x:c r="G44" s="6"/>
      <x:c r="H44" s="6"/>
      <x:c r="I44" s="6"/>
      <x:c r="J44" s="6"/>
      <x:c r="K44" s="1"/>
      <x:c r="L44" s="1"/>
      <x:c r="M44" s="1"/>
    </x:row>
    <x:row r="45" ht="22" customHeight="1">
      <x:c r="A45" s="1"/>
      <x:c r="B45" s="1"/>
      <x:c r="C45" s="1" t="str">
        <x:v>Barnegat</x:v>
      </x:c>
      <x:c r="D45" s="12" t="n">
        <x:v>6</x:v>
      </x:c>
      <x:c r="E45" s="12" t="n">
        <x:v>50</x:v>
      </x:c>
      <x:c r="F45" s="23" t="n">
        <x:v>55</x:v>
      </x:c>
      <x:c r="G45" s="23" t="n">
        <x:v>15000</x:v>
      </x:c>
      <x:c r="H45" s="23" t="n">
        <x:v>6000</x:v>
      </x:c>
      <x:c r="I45" s="44" t="n">
        <x:f>1-H26-I26</x:f>
        <x:v>0.7</x:v>
      </x:c>
      <x:c r="J45" s="11" t="n">
        <x:f>D7*E7*E26*F26</x:f>
        <x:v>3048.7050000000004</x:v>
      </x:c>
      <x:c r="K45" s="1"/>
      <x:c r="L45" s="1"/>
      <x:c r="M45" s="1"/>
    </x:row>
    <x:row r="46" ht="22" customHeight="1">
      <x:c r="A46" s="1"/>
      <x:c r="B46" s="1"/>
      <x:c r="C46" s="1" t="str">
        <x:v>Stafford</x:v>
      </x:c>
      <x:c r="D46" s="12" t="n">
        <x:v>8</x:v>
      </x:c>
      <x:c r="E46" s="12" t="n">
        <x:v>65</x:v>
      </x:c>
      <x:c r="F46" s="23" t="n">
        <x:v>65</x:v>
      </x:c>
      <x:c r="G46" s="23" t="n">
        <x:v>15000</x:v>
      </x:c>
      <x:c r="H46" s="23" t="n">
        <x:v>6000</x:v>
      </x:c>
      <x:c r="I46" s="44" t="n">
        <x:f>1-H27-I27</x:f>
        <x:v>0.6499999999999999</x:v>
      </x:c>
      <x:c r="J46" s="11" t="n">
        <x:f>D8*E8*E27*F27</x:f>
        <x:v>4770.62124</x:v>
      </x:c>
      <x:c r="K46" s="1"/>
      <x:c r="L46" s="1"/>
      <x:c r="M46" s="1"/>
    </x:row>
    <x:row r="47" ht="22" customHeight="1">
      <x:c r="A47" s="1"/>
      <x:c r="B47" s="1"/>
      <x:c r="C47" s="1" t="str">
        <x:v>Lacey</x:v>
      </x:c>
      <x:c r="D47" s="12" t="n">
        <x:v>7</x:v>
      </x:c>
      <x:c r="E47" s="12" t="n">
        <x:v>55</x:v>
      </x:c>
      <x:c r="F47" s="23" t="n">
        <x:v>55</x:v>
      </x:c>
      <x:c r="G47" s="23" t="n">
        <x:v>15000</x:v>
      </x:c>
      <x:c r="H47" s="23" t="n">
        <x:v>6000</x:v>
      </x:c>
      <x:c r="I47" s="44" t="n">
        <x:f>1-H28-I28</x:f>
        <x:v>0.6499999999999999</x:v>
      </x:c>
      <x:c r="J47" s="11" t="n">
        <x:f>D9*E9*E28*F28</x:f>
        <x:v>3595.9600800000003</x:v>
      </x:c>
      <x:c r="K47" s="1"/>
      <x:c r="L47" s="1"/>
      <x:c r="M47" s="1"/>
    </x:row>
    <x:row r="48" ht="22" customHeight="1">
      <x:c r="A48" s="1"/>
      <x:c r="B48" s="1"/>
      <x:c r="C48" s="1" t="str">
        <x:v>Ocean / Waretown</x:v>
      </x:c>
      <x:c r="D48" s="12" t="n">
        <x:v>3</x:v>
      </x:c>
      <x:c r="E48" s="12" t="n">
        <x:v>25</x:v>
      </x:c>
      <x:c r="F48" s="23" t="n">
        <x:v>55</x:v>
      </x:c>
      <x:c r="G48" s="23" t="n">
        <x:v>10000</x:v>
      </x:c>
      <x:c r="H48" s="23" t="n">
        <x:v>4000</x:v>
      </x:c>
      <x:c r="I48" s="44" t="n">
        <x:f>1-H29-I29</x:f>
        <x:v>0.7</x:v>
      </x:c>
      <x:c r="J48" s="11" t="n">
        <x:f>D10*E10*E29*F29</x:f>
        <x:v>1164.6328500000002</x:v>
      </x:c>
      <x:c r="K48" s="1"/>
      <x:c r="L48" s="1"/>
      <x:c r="M48" s="1"/>
    </x:row>
    <x:row r="49" ht="22" customHeight="1">
      <x:c r="A49" s="1"/>
      <x:c r="B49" s="1"/>
      <x:c r="C49" s="1" t="str">
        <x:v>Berkeley</x:v>
      </x:c>
      <x:c r="D49" s="12" t="n">
        <x:v>8</x:v>
      </x:c>
      <x:c r="E49" s="12" t="n">
        <x:v>65</x:v>
      </x:c>
      <x:c r="F49" s="23" t="n">
        <x:v>55</x:v>
      </x:c>
      <x:c r="G49" s="23" t="n">
        <x:v>20000</x:v>
      </x:c>
      <x:c r="H49" s="23" t="n">
        <x:v>8000</x:v>
      </x:c>
      <x:c r="I49" s="44" t="n">
        <x:f>1-H30-I30</x:f>
        <x:v>0.83</x:v>
      </x:c>
      <x:c r="J49" s="11" t="n">
        <x:f>D11*E11*E30*F30</x:f>
        <x:v>4097.845499999999</x:v>
      </x:c>
      <x:c r="K49" s="1"/>
      <x:c r="L49" s="1"/>
      <x:c r="M49" s="1"/>
    </x:row>
    <x:row r="50" ht="22" customHeight="1">
      <x:c r="A50" s="1"/>
      <x:c r="B50" s="1"/>
      <x:c r="C50" s="1" t="str">
        <x:v>Toms River</x:v>
      </x:c>
      <x:c r="D50" s="12" t="n">
        <x:v>15</x:v>
      </x:c>
      <x:c r="E50" s="12" t="n">
        <x:v>140</x:v>
      </x:c>
      <x:c r="F50" s="23" t="n">
        <x:v>55</x:v>
      </x:c>
      <x:c r="G50" s="23" t="n">
        <x:v>25000</x:v>
      </x:c>
      <x:c r="H50" s="23" t="n">
        <x:v>10000</x:v>
      </x:c>
      <x:c r="I50" s="44" t="n">
        <x:f>1-H31-I31</x:f>
        <x:v>0.7</x:v>
      </x:c>
      <x:c r="J50" s="11" t="n">
        <x:f>D12*E12*E31*F31</x:f>
        <x:v>10542.3481125</x:v>
      </x:c>
      <x:c r="K50" s="1"/>
      <x:c r="L50" s="1"/>
      <x:c r="M50" s="1"/>
    </x:row>
    <x:row r="51" ht="22" customHeight="1">
      <x:c r="A51" s="1"/>
      <x:c r="B51" s="1"/>
      <x:c r="C51" s="1" t="str">
        <x:v>Brick</x:v>
      </x:c>
      <x:c r="D51" s="12" t="n">
        <x:v>12</x:v>
      </x:c>
      <x:c r="E51" s="12" t="n">
        <x:v>120</x:v>
      </x:c>
      <x:c r="F51" s="23" t="n">
        <x:v>55</x:v>
      </x:c>
      <x:c r="G51" s="23" t="n">
        <x:v>25000</x:v>
      </x:c>
      <x:c r="H51" s="23" t="n">
        <x:v>10000</x:v>
      </x:c>
      <x:c r="I51" s="44" t="n">
        <x:f>1-H32-I32</x:f>
        <x:v>0.77</x:v>
      </x:c>
      <x:c r="J51" s="11" t="n">
        <x:f>D13*E13*E32*F32</x:f>
        <x:v>8402.925825</x:v>
      </x:c>
      <x:c r="K51" s="1"/>
      <x:c r="L51" s="1"/>
      <x:c r="M51" s="1"/>
    </x:row>
    <x:row r="52" ht="22" customHeight="1">
      <x:c r="A52" s="1"/>
      <x:c r="B52" s="1"/>
      <x:c r="C52" s="1" t="str">
        <x:v>Jackson</x:v>
      </x:c>
      <x:c r="D52" s="12" t="n">
        <x:v>12</x:v>
      </x:c>
      <x:c r="E52" s="12" t="n">
        <x:v>120</x:v>
      </x:c>
      <x:c r="F52" s="23" t="n">
        <x:v>65</x:v>
      </x:c>
      <x:c r="G52" s="23" t="n">
        <x:v>25000</x:v>
      </x:c>
      <x:c r="H52" s="23" t="n">
        <x:v>10000</x:v>
      </x:c>
      <x:c r="I52" s="44" t="n">
        <x:f>1-H33-I33</x:f>
        <x:v>0.44999999999999996</x:v>
      </x:c>
      <x:c r="J52" s="11" t="n">
        <x:f>D14*E14*E33*F33</x:f>
        <x:v>8391.956925</x:v>
      </x:c>
      <x:c r="K52" s="1"/>
      <x:c r="L52" s="1"/>
      <x:c r="M52" s="1"/>
    </x:row>
    <x:row r="53" ht="22" customHeight="1">
      <x:c r="A53" s="1"/>
      <x:c r="B53" s="1"/>
      <x:c r="C53" s="1" t="str">
        <x:v>Howell</x:v>
      </x:c>
      <x:c r="D53" s="12" t="n">
        <x:v>12</x:v>
      </x:c>
      <x:c r="E53" s="12" t="n">
        <x:v>115</x:v>
      </x:c>
      <x:c r="F53" s="23" t="n">
        <x:v>65</x:v>
      </x:c>
      <x:c r="G53" s="23" t="n">
        <x:v>25000</x:v>
      </x:c>
      <x:c r="H53" s="23" t="n">
        <x:v>10000</x:v>
      </x:c>
      <x:c r="I53" s="44" t="n">
        <x:f>1-H34-I34</x:f>
        <x:v>0.55</x:v>
      </x:c>
      <x:c r="J53" s="11" t="n">
        <x:f>D15*E15*E34*F34</x:f>
        <x:v>7943.288760000001</x:v>
      </x:c>
      <x:c r="K53" s="1"/>
      <x:c r="L53" s="1"/>
      <x:c r="M53" s="1"/>
    </x:row>
    <x:row r="54" ht="22" customHeight="1">
      <x:c r="A54" s="1"/>
      <x:c r="B54" s="1"/>
      <x:c r="C54" s="1" t="str">
        <x:v>Wall</x:v>
      </x:c>
      <x:c r="D54" s="12" t="n">
        <x:v>7</x:v>
      </x:c>
      <x:c r="E54" s="12" t="n">
        <x:v>60</x:v>
      </x:c>
      <x:c r="F54" s="23" t="n">
        <x:v>65</x:v>
      </x:c>
      <x:c r="G54" s="23" t="n">
        <x:v>20000</x:v>
      </x:c>
      <x:c r="H54" s="23" t="n">
        <x:v>8000</x:v>
      </x:c>
      <x:c r="I54" s="44" t="n">
        <x:f>1-H35-I35</x:f>
        <x:v>0.5</x:v>
      </x:c>
      <x:c r="J54" s="11" t="n">
        <x:f>D16*E16*E35*F35</x:f>
        <x:v>3715.10304</x:v>
      </x:c>
      <x:c r="K54" s="1"/>
      <x:c r="L54" s="1"/>
      <x:c r="M54" s="1"/>
    </x:row>
    <x:row r="55" ht="22" customHeight="1">
      <x:c r="A55" s="1"/>
      <x:c r="B55" s="1"/>
      <x:c r="C55" s="1" t="str">
        <x:v>Middletown</x:v>
      </x:c>
      <x:c r="D55" s="12" t="n">
        <x:v>14</x:v>
      </x:c>
      <x:c r="E55" s="12" t="n">
        <x:v>140</x:v>
      </x:c>
      <x:c r="F55" s="23" t="n">
        <x:v>65</x:v>
      </x:c>
      <x:c r="G55" s="23" t="n">
        <x:v>25000</x:v>
      </x:c>
      <x:c r="H55" s="23" t="n">
        <x:v>10000</x:v>
      </x:c>
      <x:c r="I55" s="44" t="n">
        <x:f>1-H36-I36</x:f>
        <x:v>0.55</x:v>
      </x:c>
      <x:c r="J55" s="11" t="n">
        <x:f>D17*E17*E36*F36</x:f>
        <x:v>9506.563880000003</x:v>
      </x:c>
      <x:c r="K55" s="1"/>
      <x:c r="L55" s="1"/>
      <x:c r="M55" s="1"/>
    </x:row>
    <x:row r="56" ht="22" customHeight="1">
      <x:c r="A56" s="1"/>
      <x:c r="B56" s="1"/>
      <x:c r="C56" s="1" t="str">
        <x:v>Holmdel</x:v>
      </x:c>
      <x:c r="D56" s="12" t="n">
        <x:v>6</x:v>
      </x:c>
      <x:c r="E56" s="12" t="n">
        <x:v>55</x:v>
      </x:c>
      <x:c r="F56" s="23" t="n">
        <x:v>80</x:v>
      </x:c>
      <x:c r="G56" s="23" t="n">
        <x:v>20000</x:v>
      </x:c>
      <x:c r="H56" s="23" t="n">
        <x:v>8000</x:v>
      </x:c>
      <x:c r="I56" s="44" t="n">
        <x:f>1-H37-I37</x:f>
        <x:v>0.35</x:v>
      </x:c>
      <x:c r="J56" s="11" t="n">
        <x:f>D18*E18*E37*F37</x:f>
        <x:v>3253.6526099999996</x:v>
      </x:c>
      <x:c r="K56" s="1"/>
      <x:c r="L56" s="1"/>
      <x:c r="M56" s="1"/>
    </x:row>
    <x:row r="57" ht="22" customHeight="1">
      <x:c r="A57" s="1"/>
      <x:c r="B57" s="1"/>
      <x:c r="C57" s="1" t="str">
        <x:v>Colts Neck</x:v>
      </x:c>
      <x:c r="D57" s="12" t="n">
        <x:v>4</x:v>
      </x:c>
      <x:c r="E57" s="12" t="n">
        <x:v>35</x:v>
      </x:c>
      <x:c r="F57" s="23" t="n">
        <x:v>80</x:v>
      </x:c>
      <x:c r="G57" s="23" t="n">
        <x:v>20000</x:v>
      </x:c>
      <x:c r="H57" s="23" t="n">
        <x:v>6000</x:v>
      </x:c>
      <x:c r="I57" s="44" t="n">
        <x:f>1-H38-I38</x:f>
        <x:v>0.19999999999999996</x:v>
      </x:c>
      <x:c r="J57" s="11" t="n">
        <x:f>D19*E19*E38*F38</x:f>
        <x:v>1991.4745500000001</x:v>
      </x:c>
      <x:c r="K57" s="1"/>
      <x:c r="L57" s="1"/>
      <x:c r="M57" s="1"/>
    </x:row>
    <x:row r="58" ht="22" customHeight="1">
      <x:c r="A58" s="1"/>
      <x:c r="B58" s="1"/>
      <x:c r="C58" s="1" t="str">
        <x:v>Rumson</x:v>
      </x:c>
      <x:c r="D58" s="12" t="n">
        <x:v>3</x:v>
      </x:c>
      <x:c r="E58" s="12" t="n">
        <x:v>25</x:v>
      </x:c>
      <x:c r="F58" s="23" t="n">
        <x:v>80</x:v>
      </x:c>
      <x:c r="G58" s="23" t="n">
        <x:v>15000</x:v>
      </x:c>
      <x:c r="H58" s="23" t="n">
        <x:v>6000</x:v>
      </x:c>
      <x:c r="I58" s="44" t="n">
        <x:f>1-H39-I39</x:f>
        <x:v>0.39999999999999997</x:v>
      </x:c>
      <x:c r="J58" s="11" t="n">
        <x:f>D20*E20*E39*F39</x:f>
        <x:v>1258.0308975</x:v>
      </x:c>
      <x:c r="K58" s="1"/>
      <x:c r="L58" s="1"/>
      <x:c r="M58" s="1"/>
    </x:row>
    <x:row r="59" ht="22" customHeight="1">
      <x:c r="A59" s="1"/>
      <x:c r="B59" s="1"/>
      <x:c r="C59" s="1"/>
      <x:c r="D59" s="6"/>
      <x:c r="E59" s="6"/>
      <x:c r="F59" s="6"/>
      <x:c r="G59" s="6"/>
      <x:c r="H59" s="6"/>
      <x:c r="I59" s="6"/>
      <x:c r="J59" s="6"/>
      <x:c r="K59" s="1"/>
      <x:c r="L59" s="1"/>
      <x:c r="M59" s="1"/>
    </x:row>
    <x:row r="60" ht="22" customHeight="1">
      <x:c r="A60" s="1"/>
      <x:c r="B60" s="1"/>
      <x:c r="C60" s="1"/>
      <x:c r="D60" s="6"/>
      <x:c r="E60" s="6"/>
      <x:c r="F60" s="6"/>
      <x:c r="G60" s="6"/>
      <x:c r="H60" s="6"/>
      <x:c r="I60" s="6"/>
      <x:c r="J60" s="6"/>
      <x:c r="K60" s="1"/>
      <x:c r="L60" s="1"/>
      <x:c r="M60" s="1"/>
    </x:row>
    <x:row r="61" ht="22" customHeight="1">
      <x:c r="A61" s="1"/>
      <x:c r="B61" s="1"/>
      <x:c r="C61" s="5" t="str">
        <x:v>Acquisition and supply settings / editable</x:v>
      </x:c>
      <x:c r="D61" s="26"/>
      <x:c r="E61" s="26"/>
      <x:c r="F61" s="26"/>
      <x:c r="G61" s="26"/>
      <x:c r="H61" s="26"/>
      <x:c r="I61" s="26"/>
      <x:c r="J61" s="26"/>
      <x:c r="K61" s="1"/>
      <x:c r="L61" s="1"/>
      <x:c r="M61" s="1"/>
    </x:row>
    <x:row r="62" ht="22" customHeight="1">
      <x:c r="A62" s="1"/>
      <x:c r="B62" s="1"/>
      <x:c r="C62" s="1"/>
      <x:c r="D62" s="6"/>
      <x:c r="E62" s="6"/>
      <x:c r="F62" s="6"/>
      <x:c r="G62" s="6"/>
      <x:c r="H62" s="6"/>
      <x:c r="I62" s="6"/>
      <x:c r="J62" s="6"/>
      <x:c r="K62" s="1"/>
      <x:c r="L62" s="1"/>
      <x:c r="M62" s="1"/>
    </x:row>
    <x:row r="63" ht="22" customHeight="1">
      <x:c r="A63" s="1"/>
      <x:c r="B63" s="1"/>
      <x:c r="C63" s="1" t="str">
        <x:v>First-year share of remaining pool</x:v>
      </x:c>
      <x:c r="D63" s="42" t="n">
        <x:v>0.08</x:v>
      </x:c>
      <x:c r="E63" s="6"/>
      <x:c r="F63" s="6"/>
      <x:c r="G63" s="6"/>
      <x:c r="H63" s="6"/>
      <x:c r="I63" s="6"/>
      <x:c r="J63" s="6"/>
      <x:c r="K63" s="1"/>
      <x:c r="L63" s="1"/>
      <x:c r="M63" s="1"/>
    </x:row>
    <x:row r="64" ht="22" customHeight="1">
      <x:c r="A64" s="1"/>
      <x:c r="B64" s="1"/>
      <x:c r="C64" s="1" t="str">
        <x:v>Annual increase in acquisition rate</x:v>
      </x:c>
      <x:c r="D64" s="42" t="n">
        <x:v>0.02</x:v>
      </x:c>
      <x:c r="E64" s="6"/>
      <x:c r="F64" s="6"/>
      <x:c r="G64" s="6"/>
      <x:c r="H64" s="6"/>
      <x:c r="I64" s="6"/>
      <x:c r="J64" s="6"/>
      <x:c r="K64" s="1"/>
      <x:c r="L64" s="1"/>
      <x:c r="M64" s="1"/>
    </x:row>
    <x:row r="65" ht="22" customHeight="1">
      <x:c r="A65" s="1"/>
      <x:c r="B65" s="1"/>
      <x:c r="C65" s="1" t="str">
        <x:v>Maximum share of remaining pool / year</x:v>
      </x:c>
      <x:c r="D65" s="42" t="n">
        <x:v>0.16</x:v>
      </x:c>
      <x:c r="E65" s="6"/>
      <x:c r="F65" s="6"/>
      <x:c r="G65" s="6"/>
      <x:c r="H65" s="6"/>
      <x:c r="I65" s="6"/>
      <x:c r="J65" s="6"/>
      <x:c r="K65" s="1"/>
      <x:c r="L65" s="1"/>
      <x:c r="M65" s="1"/>
    </x:row>
    <x:row r="66" ht="22" customHeight="1">
      <x:c r="A66" s="1"/>
      <x:c r="B66" s="1"/>
      <x:c r="C66" s="1" t="str">
        <x:v>Calendar-year CAC improvement</x:v>
      </x:c>
      <x:c r="D66" s="42" t="n">
        <x:v>0.05</x:v>
      </x:c>
      <x:c r="E66" s="6"/>
      <x:c r="F66" s="6"/>
      <x:c r="G66" s="6"/>
      <x:c r="H66" s="6"/>
      <x:c r="I66" s="6"/>
      <x:c r="J66" s="6"/>
      <x:c r="K66" s="1"/>
      <x:c r="L66" s="1"/>
      <x:c r="M66" s="1"/>
    </x:row>
    <x:row r="67" ht="22" customHeight="1">
      <x:c r="A67" s="1"/>
      <x:c r="B67" s="1"/>
      <x:c r="C67" s="1" t="str">
        <x:v>Local cost inflation</x:v>
      </x:c>
      <x:c r="D67" s="42" t="n">
        <x:v>0.03</x:v>
      </x:c>
      <x:c r="E67" s="6"/>
      <x:c r="F67" s="6"/>
      <x:c r="G67" s="6"/>
      <x:c r="H67" s="6"/>
      <x:c r="I67" s="6"/>
      <x:c r="J67" s="6"/>
      <x:c r="K67" s="1"/>
      <x:c r="L67" s="1"/>
      <x:c r="M67" s="1"/>
    </x:row>
    <x:row r="68" ht="22" customHeight="1">
      <x:c r="A68" s="1"/>
      <x:c r="B68" s="1"/>
      <x:c r="C68" s="1" t="str">
        <x:v>Core employee floor</x:v>
      </x:c>
      <x:c r="D68" s="43" t="n">
        <x:v>3</x:v>
      </x:c>
      <x:c r="E68" s="6"/>
      <x:c r="F68" s="6"/>
      <x:c r="G68" s="6"/>
      <x:c r="H68" s="6"/>
      <x:c r="I68" s="6"/>
      <x:c r="J68" s="6"/>
      <x:c r="K68" s="1"/>
      <x:c r="L68" s="1"/>
      <x:c r="M68" s="1"/>
    </x:row>
    <x:row r="69" ht="22" customHeight="1">
      <x:c r="A69" s="1"/>
      <x:c r="B69" s="1"/>
      <x:c r="C69" s="1" t="str">
        <x:v>Households covered by employee floor</x:v>
      </x:c>
      <x:c r="D69" s="46" t="n">
        <x:v>1000</x:v>
      </x:c>
      <x:c r="E69" s="6"/>
      <x:c r="F69" s="6"/>
      <x:c r="G69" s="6"/>
      <x:c r="H69" s="6"/>
      <x:c r="I69" s="6"/>
      <x:c r="J69" s="6"/>
      <x:c r="K69" s="1"/>
      <x:c r="L69" s="1"/>
      <x:c r="M69" s="1"/>
    </x:row>
    <x:row r="70" ht="22" customHeight="1">
      <x:c r="A70" s="1"/>
      <x:c r="B70" s="1"/>
      <x:c r="C70" s="1" t="str">
        <x:v>Extra households per added employee</x:v>
      </x:c>
      <x:c r="D70" s="46" t="n">
        <x:v>2500</x:v>
      </x:c>
      <x:c r="E70" s="6"/>
      <x:c r="F70" s="6"/>
      <x:c r="G70" s="6"/>
      <x:c r="H70" s="6"/>
      <x:c r="I70" s="6"/>
      <x:c r="J70" s="6"/>
      <x:c r="K70" s="1"/>
      <x:c r="L70" s="1"/>
      <x:c r="M70" s="1"/>
    </x:row>
    <x:row r="71" ht="22" customHeight="1">
      <x:c r="A71" s="1"/>
      <x:c r="B71" s="1"/>
      <x:c r="C71" s="1" t="str">
        <x:v>Remote overhead / sum of detail</x:v>
      </x:c>
      <x:c r="D71" s="22" t="n">
        <x:f>SUM(D113:D117)</x:f>
        <x:v>42000</x:v>
      </x:c>
      <x:c r="E71" s="6"/>
      <x:c r="F71" s="6"/>
      <x:c r="G71" s="6"/>
      <x:c r="H71" s="6"/>
      <x:c r="I71" s="6"/>
      <x:c r="J71" s="6"/>
      <x:c r="K71" s="1"/>
      <x:c r="L71" s="1"/>
      <x:c r="M71" s="1"/>
    </x:row>
    <x:row r="72" ht="22" customHeight="1">
      <x:c r="A72" s="1"/>
      <x:c r="B72" s="1"/>
      <x:c r="C72" s="1" t="str">
        <x:v>Equipment per employee / year</x:v>
      </x:c>
      <x:c r="D72" s="23" t="n">
        <x:v>5000</x:v>
      </x:c>
      <x:c r="E72" s="6"/>
      <x:c r="F72" s="6"/>
      <x:c r="G72" s="6"/>
      <x:c r="H72" s="6"/>
      <x:c r="I72" s="6"/>
      <x:c r="J72" s="6"/>
      <x:c r="K72" s="1"/>
      <x:c r="L72" s="1"/>
      <x:c r="M72" s="1"/>
    </x:row>
    <x:row r="73" ht="22" customHeight="1">
      <x:c r="A73" s="1"/>
      <x:c r="B73" s="1"/>
      <x:c r="C73" s="1" t="str">
        <x:v>Downside demand multiplier</x:v>
      </x:c>
      <x:c r="D73" s="42" t="n">
        <x:v>0.8</x:v>
      </x:c>
      <x:c r="E73" s="6"/>
      <x:c r="F73" s="6"/>
      <x:c r="G73" s="6"/>
      <x:c r="H73" s="6"/>
      <x:c r="I73" s="6"/>
      <x:c r="J73" s="6"/>
      <x:c r="K73" s="1"/>
      <x:c r="L73" s="1"/>
      <x:c r="M73" s="1"/>
    </x:row>
    <x:row r="74" ht="22" customHeight="1">
      <x:c r="A74" s="1"/>
      <x:c r="B74" s="1"/>
      <x:c r="C74" s="1" t="str">
        <x:v>Upside demand multiplier</x:v>
      </x:c>
      <x:c r="D74" s="42" t="n">
        <x:v>1.15</x:v>
      </x:c>
      <x:c r="E74" s="6"/>
      <x:c r="F74" s="6"/>
      <x:c r="G74" s="6"/>
      <x:c r="H74" s="6"/>
      <x:c r="I74" s="6"/>
      <x:c r="J74" s="6"/>
      <x:c r="K74" s="1"/>
      <x:c r="L74" s="1"/>
      <x:c r="M74" s="1"/>
    </x:row>
    <x:row r="75" ht="22" customHeight="1">
      <x:c r="A75" s="1"/>
      <x:c r="B75" s="1"/>
      <x:c r="C75" s="1" t="str">
        <x:v>Downside acquisition multiplier</x:v>
      </x:c>
      <x:c r="D75" s="42" t="n">
        <x:v>0.6</x:v>
      </x:c>
      <x:c r="E75" s="6"/>
      <x:c r="F75" s="6"/>
      <x:c r="G75" s="6"/>
      <x:c r="H75" s="6"/>
      <x:c r="I75" s="6"/>
      <x:c r="J75" s="6"/>
      <x:c r="K75" s="1"/>
      <x:c r="L75" s="1"/>
      <x:c r="M75" s="1"/>
    </x:row>
    <x:row r="76" ht="22" customHeight="1">
      <x:c r="A76" s="1"/>
      <x:c r="B76" s="1"/>
      <x:c r="C76" s="1" t="str">
        <x:v>Upside acquisition multiplier</x:v>
      </x:c>
      <x:c r="D76" s="42" t="n">
        <x:v>1.5</x:v>
      </x:c>
      <x:c r="E76" s="6"/>
      <x:c r="F76" s="6"/>
      <x:c r="G76" s="6"/>
      <x:c r="H76" s="6"/>
      <x:c r="I76" s="6"/>
      <x:c r="J76" s="6"/>
      <x:c r="K76" s="1"/>
      <x:c r="L76" s="1"/>
      <x:c r="M76" s="1"/>
    </x:row>
    <x:row r="77" ht="22" customHeight="1">
      <x:c r="A77" s="1"/>
      <x:c r="B77" s="1"/>
      <x:c r="C77" s="1" t="str">
        <x:v>Downside supply multiplier</x:v>
      </x:c>
      <x:c r="D77" s="42" t="n">
        <x:v>0.8</x:v>
      </x:c>
      <x:c r="E77" s="6"/>
      <x:c r="F77" s="6"/>
      <x:c r="G77" s="6"/>
      <x:c r="H77" s="6"/>
      <x:c r="I77" s="6"/>
      <x:c r="J77" s="6"/>
      <x:c r="K77" s="1"/>
      <x:c r="L77" s="1"/>
      <x:c r="M77" s="1"/>
    </x:row>
    <x:row r="78" ht="22" customHeight="1">
      <x:c r="A78" s="1"/>
      <x:c r="B78" s="1"/>
      <x:c r="C78" s="1" t="str">
        <x:v>Upside supply multiplier</x:v>
      </x:c>
      <x:c r="D78" s="42" t="n">
        <x:v>1.25</x:v>
      </x:c>
      <x:c r="E78" s="6"/>
      <x:c r="F78" s="6"/>
      <x:c r="G78" s="6"/>
      <x:c r="H78" s="6"/>
      <x:c r="I78" s="6"/>
      <x:c r="J78" s="6"/>
      <x:c r="K78" s="1"/>
      <x:c r="L78" s="1"/>
      <x:c r="M78" s="1"/>
    </x:row>
    <x:row r="79" ht="22" customHeight="1">
      <x:c r="A79" s="1"/>
      <x:c r="B79" s="1"/>
      <x:c r="C79" s="1" t="str">
        <x:v>Downside cash CAC multiplier</x:v>
      </x:c>
      <x:c r="D79" s="42" t="n">
        <x:v>1.35</x:v>
      </x:c>
      <x:c r="E79" s="6"/>
      <x:c r="F79" s="6"/>
      <x:c r="G79" s="6"/>
      <x:c r="H79" s="6"/>
      <x:c r="I79" s="6"/>
      <x:c r="J79" s="6"/>
      <x:c r="K79" s="1"/>
      <x:c r="L79" s="1"/>
      <x:c r="M79" s="1"/>
    </x:row>
    <x:row r="80" ht="22" customHeight="1">
      <x:c r="A80" s="1"/>
      <x:c r="B80" s="1"/>
      <x:c r="C80" s="1" t="str">
        <x:v>Upside cash CAC multiplier</x:v>
      </x:c>
      <x:c r="D80" s="42" t="n">
        <x:v>0.8</x:v>
      </x:c>
      <x:c r="E80" s="6"/>
      <x:c r="F80" s="6"/>
      <x:c r="G80" s="6"/>
      <x:c r="H80" s="6"/>
      <x:c r="I80" s="6"/>
      <x:c r="J80" s="6"/>
      <x:c r="K80" s="1"/>
      <x:c r="L80" s="1"/>
      <x:c r="M80" s="1"/>
    </x:row>
    <x:row r="81" ht="22" customHeight="1">
      <x:c r="A81" s="1"/>
      <x:c r="B81" s="1"/>
      <x:c r="C81" s="1" t="str">
        <x:v>Maximum paid employees</x:v>
      </x:c>
      <x:c r="D81" s="43" t="n">
        <x:v>5</x:v>
      </x:c>
      <x:c r="E81" s="6"/>
      <x:c r="F81" s="6"/>
      <x:c r="G81" s="6"/>
      <x:c r="H81" s="6"/>
      <x:c r="I81" s="6"/>
      <x:c r="J81" s="6"/>
      <x:c r="K81" s="1"/>
      <x:c r="L81" s="1"/>
      <x:c r="M81" s="1"/>
    </x:row>
    <x:row r="82" ht="22" customHeight="1">
      <x:c r="A82" s="1"/>
      <x:c r="B82" s="1"/>
      <x:c r="C82" s="1"/>
      <x:c r="D82" s="6"/>
      <x:c r="E82" s="6"/>
      <x:c r="F82" s="6"/>
      <x:c r="G82" s="6"/>
      <x:c r="H82" s="6"/>
      <x:c r="I82" s="6"/>
      <x:c r="J82" s="6"/>
      <x:c r="K82" s="1"/>
      <x:c r="L82" s="1"/>
      <x:c r="M82" s="1"/>
    </x:row>
    <x:row r="83" ht="22" customHeight="1">
      <x:c r="A83" s="1"/>
      <x:c r="B83" s="1"/>
      <x:c r="C83" s="32" t="str">
        <x:v>Census facts: occupied households, owner occupancy, median income and home value. Held constant; no population growth or vacant/seasonal homes added. Municipalities are distinct. Ocean / Waretown means Ocean township in Ocean County, not Monmouth.</x:v>
      </x:c>
      <x:c r="D83" s="33"/>
      <x:c r="E83" s="33"/>
      <x:c r="F83" s="33"/>
      <x:c r="G83" s="33"/>
      <x:c r="H83" s="33"/>
      <x:c r="I83" s="33"/>
      <x:c r="J83" s="33"/>
      <x:c r="K83" s="1"/>
      <x:c r="L83" s="1"/>
      <x:c r="M83" s="1"/>
    </x:row>
    <x:row r="84" ht="22" customHeight="1">
      <x:c r="A84" s="1"/>
      <x:c r="B84" s="1"/>
      <x:c r="C84" s="32"/>
      <x:c r="D84" s="33"/>
      <x:c r="E84" s="33"/>
      <x:c r="F84" s="33"/>
      <x:c r="G84" s="33"/>
      <x:c r="H84" s="33"/>
      <x:c r="I84" s="33"/>
      <x:c r="J84" s="33"/>
      <x:c r="K84" s="1"/>
      <x:c r="L84" s="1"/>
      <x:c r="M84" s="1"/>
    </x:row>
    <x:row r="85" ht="22" customHeight="1">
      <x:c r="A85" s="1"/>
      <x:c r="B85" s="1"/>
      <x:c r="C85" s="1"/>
      <x:c r="D85" s="6"/>
      <x:c r="E85" s="6"/>
      <x:c r="F85" s="6"/>
      <x:c r="G85" s="6"/>
      <x:c r="H85" s="6"/>
      <x:c r="I85" s="6"/>
      <x:c r="J85" s="6"/>
      <x:c r="K85" s="1"/>
      <x:c r="L85" s="1"/>
      <x:c r="M85" s="1"/>
    </x:row>
    <x:row r="86" ht="22" customHeight="1">
      <x:c r="A86" s="1"/>
      <x:c r="B86" s="1"/>
      <x:c r="C86" s="32" t="str">
        <x:v>All lawn eligibility, willingness to hire, lot sizes, price tiers, launch dates and costs are planning assumptions. Higher income informs a hypothesis; Census does not measure lawn-care purchasing or yard size. Excludes renters, HOA-provided care and commercial demand.</x:v>
      </x:c>
      <x:c r="D86" s="33"/>
      <x:c r="E86" s="33"/>
      <x:c r="F86" s="33"/>
      <x:c r="G86" s="33"/>
      <x:c r="H86" s="33"/>
      <x:c r="I86" s="33"/>
      <x:c r="J86" s="33"/>
      <x:c r="K86" s="1"/>
      <x:c r="L86" s="1"/>
      <x:c r="M86" s="1"/>
    </x:row>
    <x:row r="87" ht="22" customHeight="1">
      <x:c r="A87" s="1"/>
      <x:c r="B87" s="1"/>
      <x:c r="C87" s="32"/>
      <x:c r="D87" s="33"/>
      <x:c r="E87" s="33"/>
      <x:c r="F87" s="33"/>
      <x:c r="G87" s="33"/>
      <x:c r="H87" s="33"/>
      <x:c r="I87" s="33"/>
      <x:c r="J87" s="33"/>
      <x:c r="K87" s="1"/>
      <x:c r="L87" s="1"/>
      <x:c r="M87" s="1"/>
    </x:row>
    <x:row r="88" ht="22" customHeight="1">
      <x:c r="A88" s="1"/>
      <x:c r="B88" s="1"/>
      <x:c r="C88" s="1"/>
      <x:c r="D88" s="6"/>
      <x:c r="E88" s="6"/>
      <x:c r="F88" s="6"/>
      <x:c r="G88" s="6"/>
      <x:c r="H88" s="6"/>
      <x:c r="I88" s="6"/>
      <x:c r="J88" s="6"/>
      <x:c r="K88" s="1"/>
      <x:c r="L88" s="1"/>
      <x:c r="M88" s="1"/>
    </x:row>
    <x:row r="89" ht="22" customHeight="1">
      <x:c r="A89" s="1"/>
      <x:c r="B89" s="1"/>
      <x:c r="C89" s="32" t="str">
        <x:v>Eligible pool = households × owner share × lawn eligibility × assumed outsourcing. New customers come only from the never-acquired pool. Lost customers are not recycled into finder-fee revenue. No national market is silently added.</x:v>
      </x:c>
      <x:c r="D89" s="33"/>
      <x:c r="E89" s="33"/>
      <x:c r="F89" s="33"/>
      <x:c r="G89" s="33"/>
      <x:c r="H89" s="33"/>
      <x:c r="I89" s="33"/>
      <x:c r="J89" s="33"/>
      <x:c r="K89" s="1"/>
      <x:c r="L89" s="1"/>
      <x:c r="M89" s="1"/>
    </x:row>
    <x:row r="90" ht="22" customHeight="1">
      <x:c r="A90" s="1"/>
      <x:c r="B90" s="1"/>
      <x:c r="C90" s="32"/>
      <x:c r="D90" s="33"/>
      <x:c r="E90" s="33"/>
      <x:c r="F90" s="33"/>
      <x:c r="G90" s="33"/>
      <x:c r="H90" s="33"/>
      <x:c r="I90" s="33"/>
      <x:c r="J90" s="33"/>
      <x:c r="K90" s="1"/>
      <x:c r="L90" s="1"/>
      <x:c r="M90" s="1"/>
    </x:row>
    <x:row r="91" ht="22" customHeight="1">
      <x:c r="A91" s="1"/>
      <x:c r="B91" s="1"/>
      <x:c r="C91" s="1"/>
      <x:c r="D91" s="6"/>
      <x:c r="E91" s="6"/>
      <x:c r="F91" s="6"/>
      <x:c r="G91" s="6"/>
      <x:c r="H91" s="6"/>
      <x:c r="I91" s="6"/>
      <x:c r="J91" s="6"/>
      <x:c r="K91" s="1"/>
      <x:c r="L91" s="1"/>
      <x:c r="M91" s="1"/>
    </x:row>
    <x:row r="92" ht="22" customHeight="1">
      <x:c r="A92" s="1"/>
      <x:c r="B92" s="1"/>
      <x:c r="C92" s="32" t="str">
        <x:v>Each provider is allocated once to a primary-town capacity pool. Shared providers must split their capacity, not be counted twice. Qualified supply is a plan, not signed providers. Active providers reflect demand; idle planned capacity does not incur payout-account costs.</x:v>
      </x:c>
      <x:c r="D92" s="33"/>
      <x:c r="E92" s="33"/>
      <x:c r="F92" s="33"/>
      <x:c r="G92" s="33"/>
      <x:c r="H92" s="33"/>
      <x:c r="I92" s="33"/>
      <x:c r="J92" s="33"/>
      <x:c r="K92" s="1"/>
      <x:c r="L92" s="1"/>
      <x:c r="M92" s="1"/>
    </x:row>
    <x:row r="93" ht="22" customHeight="1">
      <x:c r="A93" s="1"/>
      <x:c r="B93" s="1"/>
      <x:c r="C93" s="32"/>
      <x:c r="D93" s="33"/>
      <x:c r="E93" s="33"/>
      <x:c r="F93" s="33"/>
      <x:c r="G93" s="33"/>
      <x:c r="H93" s="33"/>
      <x:c r="I93" s="33"/>
      <x:c r="J93" s="33"/>
      <x:c r="K93" s="1"/>
      <x:c r="L93" s="1"/>
      <x:c r="M93" s="1"/>
    </x:row>
    <x:row r="94" ht="22" customHeight="1">
      <x:c r="A94" s="1"/>
      <x:c r="B94" s="1"/>
      <x:c r="C94" s="1"/>
      <x:c r="D94" s="6"/>
      <x:c r="E94" s="6"/>
      <x:c r="F94" s="6"/>
      <x:c r="G94" s="6"/>
      <x:c r="H94" s="6"/>
      <x:c r="I94" s="6"/>
      <x:c r="J94" s="6"/>
      <x:c r="K94" s="1"/>
      <x:c r="L94" s="1"/>
      <x:c r="M94" s="1"/>
    </x:row>
    <x:row r="95" ht="22" customHeight="1">
      <x:c r="A95" s="1"/>
      <x:c r="B95" s="1"/>
      <x:c r="C95" s="32" t="str">
        <x:v>Cash CAC covers customer media, referrals and incentives. Launch spend covers local setup / events; local ops covers travel and coverage. Provider onboarding and founder-inclusive payroll are separate. Annual recruiting inputs are net supply-growth targets; replacements are additionally funded.</x:v>
      </x:c>
      <x:c r="D95" s="33"/>
      <x:c r="E95" s="33"/>
      <x:c r="F95" s="33"/>
      <x:c r="G95" s="33"/>
      <x:c r="H95" s="33"/>
      <x:c r="I95" s="33"/>
      <x:c r="J95" s="33"/>
      <x:c r="K95" s="1"/>
      <x:c r="L95" s="1"/>
      <x:c r="M95" s="1"/>
    </x:row>
    <x:row r="96" ht="22" customHeight="1">
      <x:c r="A96" s="1"/>
      <x:c r="B96" s="1"/>
      <x:c r="C96" s="32"/>
      <x:c r="D96" s="33"/>
      <x:c r="E96" s="33"/>
      <x:c r="F96" s="33"/>
      <x:c r="G96" s="33"/>
      <x:c r="H96" s="33"/>
      <x:c r="I96" s="33"/>
      <x:c r="J96" s="33"/>
      <x:c r="K96" s="1"/>
      <x:c r="L96" s="1"/>
      <x:c r="M96" s="1"/>
    </x:row>
    <x:row r="97" ht="22" customHeight="1">
      <x:c r="A97" s="1"/>
      <x:c r="B97" s="1"/>
      <x:c r="C97" s="1"/>
      <x:c r="D97" s="6"/>
      <x:c r="E97" s="6"/>
      <x:c r="F97" s="6"/>
      <x:c r="G97" s="6"/>
      <x:c r="H97" s="6"/>
      <x:c r="I97" s="6"/>
      <x:c r="J97" s="6"/>
      <x:c r="K97" s="1"/>
      <x:c r="L97" s="1"/>
      <x:c r="M97" s="1"/>
    </x:row>
    <x:row r="98" ht="22" customHeight="1">
      <x:c r="A98" s="1"/>
      <x:c r="B98" s="1"/>
      <x:c r="C98" s="32" t="str">
        <x:v>Scenario multipliers alter outsourcing, acquisition and supply. Core staffing scales with active households, capped at five paid employees including founder. This cap assumes operational capacity is sufficient; no demand lift or extra outsourcing is added. No assumed income-based retention lift. Same seasonal service schedule across towns; category and job capture inputs remain in Service mix and Assumptions.</x:v>
      </x:c>
      <x:c r="D98" s="33"/>
      <x:c r="E98" s="33"/>
      <x:c r="F98" s="33"/>
      <x:c r="G98" s="33"/>
      <x:c r="H98" s="33"/>
      <x:c r="I98" s="33"/>
      <x:c r="J98" s="33"/>
      <x:c r="K98" s="1"/>
      <x:c r="L98" s="1"/>
      <x:c r="M98" s="1"/>
    </x:row>
    <x:row r="99" ht="22" customHeight="1">
      <x:c r="A99" s="1"/>
      <x:c r="B99" s="1"/>
      <x:c r="C99" s="32"/>
      <x:c r="D99" s="33"/>
      <x:c r="E99" s="33"/>
      <x:c r="F99" s="33"/>
      <x:c r="G99" s="33"/>
      <x:c r="H99" s="33"/>
      <x:c r="I99" s="33"/>
      <x:c r="J99" s="33"/>
      <x:c r="K99" s="1"/>
      <x:c r="L99" s="1"/>
      <x:c r="M99" s="1"/>
    </x:row>
    <x:row r="100" ht="22" customHeight="1">
      <x:c r="A100" s="1"/>
      <x:c r="B100" s="1"/>
      <x:c r="C100" s="1"/>
      <x:c r="D100" s="6"/>
      <x:c r="E100" s="6"/>
      <x:c r="F100" s="6"/>
      <x:c r="G100" s="6"/>
      <x:c r="H100" s="6"/>
      <x:c r="I100" s="6"/>
      <x:c r="J100" s="6"/>
      <x:c r="K100" s="1"/>
      <x:c r="L100" s="1"/>
      <x:c r="M100" s="1"/>
    </x:row>
    <x:row r="101" ht="22" customHeight="1">
      <x:c r="A101" s="1"/>
      <x:c r="B101" s="1"/>
      <x:c r="C101" s="1"/>
      <x:c r="D101" s="6"/>
      <x:c r="E101" s="6"/>
      <x:c r="F101" s="6"/>
      <x:c r="G101" s="6"/>
      <x:c r="H101" s="6"/>
      <x:c r="I101" s="6"/>
      <x:c r="J101" s="6"/>
      <x:c r="K101" s="1"/>
      <x:c r="L101" s="1"/>
      <x:c r="M101" s="1"/>
    </x:row>
    <x:row r="102" ht="22" customHeight="1">
      <x:c r="A102" s="1"/>
      <x:c r="B102" s="1"/>
      <x:c r="C102" s="1"/>
      <x:c r="D102" s="6"/>
      <x:c r="E102" s="6"/>
      <x:c r="F102" s="6"/>
      <x:c r="G102" s="6"/>
      <x:c r="H102" s="6"/>
      <x:c r="I102" s="6"/>
      <x:c r="J102" s="6"/>
      <x:c r="K102" s="1"/>
      <x:c r="L102" s="1"/>
      <x:c r="M102" s="1"/>
    </x:row>
    <x:row r="103" ht="22" customHeight="1">
      <x:c r="A103" s="1"/>
      <x:c r="B103" s="1"/>
      <x:c r="C103" s="1" t="str">
        <x:v>2033 base blended CAC target</x:v>
      </x:c>
      <x:c r="D103" s="23" t="n">
        <x:v>40</x:v>
      </x:c>
      <x:c r="E103" s="6"/>
      <x:c r="F103" s="6"/>
      <x:c r="G103" s="6"/>
      <x:c r="H103" s="6"/>
      <x:c r="I103" s="6"/>
      <x:c r="J103" s="6"/>
      <x:c r="K103" s="1"/>
      <x:c r="L103" s="1"/>
      <x:c r="M103" s="1"/>
    </x:row>
    <x:row r="104" ht="22" customHeight="1">
      <x:c r="A104" s="1"/>
      <x:c r="B104" s="1"/>
      <x:c r="C104" s="1" t="str">
        <x:v>Previous 2033 base CAC / calibration</x:v>
      </x:c>
      <x:c r="D104" s="48" t="n">
        <x:v>45.39186952765409</x:v>
      </x:c>
      <x:c r="E104" s="6"/>
      <x:c r="F104" s="6"/>
      <x:c r="G104" s="6"/>
      <x:c r="H104" s="6"/>
      <x:c r="I104" s="6"/>
      <x:c r="J104" s="6"/>
      <x:c r="K104" s="1"/>
      <x:c r="L104" s="1"/>
      <x:c r="M104" s="1"/>
    </x:row>
    <x:row r="105" ht="22" customHeight="1">
      <x:c r="A105" s="1"/>
      <x:c r="B105" s="1"/>
      <x:c r="C105" s="1"/>
      <x:c r="D105" s="6"/>
      <x:c r="E105" s="6"/>
      <x:c r="F105" s="6"/>
      <x:c r="G105" s="6"/>
      <x:c r="H105" s="6"/>
      <x:c r="I105" s="6"/>
      <x:c r="J105" s="6"/>
      <x:c r="K105" s="1"/>
      <x:c r="L105" s="1"/>
      <x:c r="M105" s="1"/>
    </x:row>
    <x:row r="106" ht="22" customHeight="1">
      <x:c r="A106" s="1"/>
      <x:c r="B106" s="1"/>
      <x:c r="C106" s="32" t="str">
        <x:v>Option 1: an extra acquisition-efficiency factor phases in from 2027 to 2033, calibrated from the previous $45.39 base CAC to a $40 target. Relative town costs and scenario multipliers remain. Changing town mix can change the blended result. No extra household growth is assumed.</x:v>
      </x:c>
      <x:c r="D106" s="33"/>
      <x:c r="E106" s="33"/>
      <x:c r="F106" s="33"/>
      <x:c r="G106" s="33"/>
      <x:c r="H106" s="33"/>
      <x:c r="I106" s="33"/>
      <x:c r="J106" s="33"/>
      <x:c r="K106" s="1"/>
      <x:c r="L106" s="1"/>
      <x:c r="M106" s="1"/>
    </x:row>
    <x:row r="107" ht="22" customHeight="1">
      <x:c r="A107" s="1"/>
      <x:c r="B107" s="1"/>
      <x:c r="C107" s="32"/>
      <x:c r="D107" s="33"/>
      <x:c r="E107" s="33"/>
      <x:c r="F107" s="33"/>
      <x:c r="G107" s="33"/>
      <x:c r="H107" s="33"/>
      <x:c r="I107" s="33"/>
      <x:c r="J107" s="33"/>
      <x:c r="K107" s="1"/>
      <x:c r="L107" s="1"/>
      <x:c r="M107" s="1"/>
    </x:row>
    <x:row r="108" ht="22" customHeight="1">
      <x:c r="A108" s="1"/>
      <x:c r="B108" s="1"/>
      <x:c r="C108" s="1"/>
      <x:c r="D108" s="6"/>
      <x:c r="E108" s="6"/>
      <x:c r="F108" s="6"/>
      <x:c r="G108" s="6"/>
      <x:c r="H108" s="6"/>
      <x:c r="I108" s="6"/>
      <x:c r="J108" s="6"/>
      <x:c r="K108" s="1"/>
      <x:c r="L108" s="1"/>
      <x:c r="M108" s="1"/>
    </x:row>
    <x:row r="109" ht="22" customHeight="1">
      <x:c r="A109" s="1"/>
      <x:c r="B109" s="1"/>
      <x:c r="C109" s="1"/>
      <x:c r="D109" s="6"/>
      <x:c r="E109" s="6"/>
      <x:c r="F109" s="6"/>
      <x:c r="G109" s="6"/>
      <x:c r="H109" s="6"/>
      <x:c r="I109" s="6"/>
      <x:c r="J109" s="6"/>
      <x:c r="K109" s="1"/>
      <x:c r="L109" s="1"/>
      <x:c r="M109" s="1"/>
    </x:row>
    <x:row r="110" ht="22" customHeight="1">
      <x:c r="A110" s="1"/>
      <x:c r="B110" s="1"/>
      <x:c r="C110" s="1"/>
      <x:c r="D110" s="6"/>
      <x:c r="E110" s="6"/>
      <x:c r="F110" s="6"/>
      <x:c r="G110" s="6"/>
      <x:c r="H110" s="6"/>
      <x:c r="I110" s="6"/>
      <x:c r="J110" s="6"/>
      <x:c r="K110" s="1"/>
      <x:c r="L110" s="1"/>
      <x:c r="M110" s="1"/>
    </x:row>
    <x:row r="111" ht="22" customHeight="1">
      <x:c r="A111" s="1"/>
      <x:c r="B111" s="1"/>
      <x:c r="C111" s="5" t="str">
        <x:v>Fully remote overhead / 2027 annual budget</x:v>
      </x:c>
      <x:c r="D111" s="26"/>
      <x:c r="E111" s="26"/>
      <x:c r="F111" s="26"/>
      <x:c r="G111" s="26"/>
      <x:c r="H111" s="26"/>
      <x:c r="I111" s="26"/>
      <x:c r="J111" s="26"/>
      <x:c r="K111" s="1"/>
      <x:c r="L111" s="1"/>
      <x:c r="M111" s="1"/>
    </x:row>
    <x:row r="112" ht="22" customHeight="1">
      <x:c r="A112" s="1"/>
      <x:c r="B112" s="1"/>
      <x:c r="C112" s="1"/>
      <x:c r="D112" s="6"/>
      <x:c r="E112" s="6"/>
      <x:c r="F112" s="6"/>
      <x:c r="G112" s="6"/>
      <x:c r="H112" s="6"/>
      <x:c r="I112" s="6"/>
      <x:c r="J112" s="6"/>
      <x:c r="K112" s="1"/>
      <x:c r="L112" s="1"/>
      <x:c r="M112" s="1"/>
    </x:row>
    <x:row r="113" ht="22" customHeight="1">
      <x:c r="A113" s="1"/>
      <x:c r="B113" s="1"/>
      <x:c r="C113" s="1" t="str">
        <x:v>Office rent, utilities and facilities</x:v>
      </x:c>
      <x:c r="D113" s="47" t="n">
        <x:v>0</x:v>
      </x:c>
      <x:c r="E113" s="6"/>
      <x:c r="F113" s="6"/>
      <x:c r="G113" s="6"/>
      <x:c r="H113" s="6"/>
      <x:c r="I113" s="6"/>
      <x:c r="J113" s="6"/>
      <x:c r="K113" s="1"/>
      <x:c r="L113" s="1"/>
      <x:c r="M113" s="1"/>
    </x:row>
    <x:row r="114" ht="22" customHeight="1">
      <x:c r="A114" s="1"/>
      <x:c r="B114" s="1"/>
      <x:c r="C114" s="1" t="str">
        <x:v>Business insurance</x:v>
      </x:c>
      <x:c r="D114" s="47" t="n">
        <x:v>12000</x:v>
      </x:c>
      <x:c r="E114" s="6"/>
      <x:c r="F114" s="6"/>
      <x:c r="G114" s="6"/>
      <x:c r="H114" s="6"/>
      <x:c r="I114" s="6"/>
      <x:c r="J114" s="6"/>
      <x:c r="K114" s="1"/>
      <x:c r="L114" s="1"/>
      <x:c r="M114" s="1"/>
    </x:row>
    <x:row r="115" ht="22" customHeight="1">
      <x:c r="A115" s="1"/>
      <x:c r="B115" s="1"/>
      <x:c r="C115" s="1" t="str">
        <x:v>Legal and compliance</x:v>
      </x:c>
      <x:c r="D115" s="47" t="n">
        <x:v>12000</x:v>
      </x:c>
      <x:c r="E115" s="6"/>
      <x:c r="F115" s="6"/>
      <x:c r="G115" s="6"/>
      <x:c r="H115" s="6"/>
      <x:c r="I115" s="6"/>
      <x:c r="J115" s="6"/>
      <x:c r="K115" s="1"/>
      <x:c r="L115" s="1"/>
      <x:c r="M115" s="1"/>
    </x:row>
    <x:row r="116" ht="22" customHeight="1">
      <x:c r="A116" s="1"/>
      <x:c r="B116" s="1"/>
      <x:c r="C116" s="1" t="str">
        <x:v>Accounting and tax preparation</x:v>
      </x:c>
      <x:c r="D116" s="47" t="n">
        <x:v>6000</x:v>
      </x:c>
      <x:c r="E116" s="6"/>
      <x:c r="F116" s="6"/>
      <x:c r="G116" s="6"/>
      <x:c r="H116" s="6"/>
      <x:c r="I116" s="6"/>
      <x:c r="J116" s="6"/>
      <x:c r="K116" s="1"/>
      <x:c r="L116" s="1"/>
      <x:c r="M116" s="1"/>
    </x:row>
    <x:row r="117" ht="22" customHeight="1">
      <x:c r="A117" s="1"/>
      <x:c r="B117" s="1"/>
      <x:c r="C117" s="1" t="str">
        <x:v>Fixed team software</x:v>
      </x:c>
      <x:c r="D117" s="47" t="n">
        <x:v>12000</x:v>
      </x:c>
      <x:c r="E117" s="6"/>
      <x:c r="F117" s="6"/>
      <x:c r="G117" s="6"/>
      <x:c r="H117" s="6"/>
      <x:c r="I117" s="6"/>
      <x:c r="J117" s="6"/>
      <x:c r="K117" s="1"/>
      <x:c r="L117" s="1"/>
      <x:c r="M117" s="1"/>
    </x:row>
    <x:row r="118" ht="22" customHeight="1">
      <x:c r="A118" s="1"/>
      <x:c r="B118" s="1"/>
      <x:c r="C118" s="1"/>
      <x:c r="D118" s="6"/>
      <x:c r="E118" s="6"/>
      <x:c r="F118" s="6"/>
      <x:c r="G118" s="6"/>
      <x:c r="H118" s="6"/>
      <x:c r="I118" s="6"/>
      <x:c r="J118" s="6"/>
      <x:c r="K118" s="1"/>
      <x:c r="L118" s="1"/>
      <x:c r="M118" s="1"/>
    </x:row>
    <x:row r="119" ht="22" customHeight="1">
      <x:c r="A119" s="1"/>
      <x:c r="B119" s="1"/>
      <x:c r="C119" s="32" t="str">
        <x:v>Fully remote, no leased office or coworking budget. Non-office amounts are editable planning estimates, not vendor quotes. They replace the previous unsplit $60,000 allowance. Local travel/events and employee IT equipment remain separate.</x:v>
      </x:c>
      <x:c r="D119" s="33"/>
      <x:c r="E119" s="33"/>
      <x:c r="F119" s="33"/>
      <x:c r="G119" s="33"/>
      <x:c r="H119" s="33"/>
      <x:c r="I119" s="33"/>
      <x:c r="J119" s="33"/>
      <x:c r="K119" s="1"/>
      <x:c r="L119" s="1"/>
      <x:c r="M119" s="1"/>
    </x:row>
    <x:row r="120" ht="22" customHeight="1">
      <x:c r="A120" s="1"/>
      <x:c r="B120" s="1"/>
      <x:c r="C120" s="32"/>
      <x:c r="D120" s="33"/>
      <x:c r="E120" s="33"/>
      <x:c r="F120" s="33"/>
      <x:c r="G120" s="33"/>
      <x:c r="H120" s="33"/>
      <x:c r="I120" s="33"/>
      <x:c r="J120" s="33"/>
      <x:c r="K120" s="1"/>
      <x:c r="L120" s="1"/>
      <x:c r="M120" s="1"/>
    </x:row>
    <x:row r="121" ht="22" customHeight="1">
      <x:c r="A121" s="1"/>
      <x:c r="B121" s="1"/>
      <x:c r="C121" s="1"/>
      <x:c r="D121" s="6"/>
      <x:c r="E121" s="6"/>
      <x:c r="F121" s="6"/>
      <x:c r="G121" s="6"/>
      <x:c r="H121" s="6"/>
      <x:c r="I121" s="6"/>
      <x:c r="J121" s="6"/>
      <x:c r="K121" s="1"/>
      <x:c r="L121" s="1"/>
      <x:c r="M121" s="1"/>
    </x:row>
    <x:row r="122" ht="22" customHeight="1">
      <x:c r="A122" s="1"/>
      <x:c r="B122" s="1"/>
      <x:c r="C122" s="32" t="str">
        <x:v>The $42,000 starting remote overhead budget increases with the 3% cost inflation assumption. Payroll software seats are fixed overhead; maps, messaging and usage-based infrastructure stay in variable costs.</x:v>
      </x:c>
      <x:c r="D122" s="33"/>
      <x:c r="E122" s="33"/>
      <x:c r="F122" s="33"/>
      <x:c r="G122" s="33"/>
      <x:c r="H122" s="33"/>
      <x:c r="I122" s="33"/>
      <x:c r="J122" s="33"/>
      <x:c r="K122" s="1"/>
      <x:c r="L122" s="1"/>
      <x:c r="M122" s="1"/>
    </x:row>
    <x:row r="123" ht="22" customHeight="1">
      <x:c r="A123" s="1"/>
      <x:c r="B123" s="1"/>
      <x:c r="C123" s="32"/>
      <x:c r="D123" s="33"/>
      <x:c r="E123" s="33"/>
      <x:c r="F123" s="33"/>
      <x:c r="G123" s="33"/>
      <x:c r="H123" s="33"/>
      <x:c r="I123" s="33"/>
      <x:c r="J123" s="33"/>
      <x:c r="K123" s="1"/>
      <x:c r="L123" s="1"/>
      <x:c r="M123" s="1"/>
    </x:row>
  </x:sheetData>
  <x:mergeCells>
    <x:mergeCell ref="C119:J120"/>
    <x:mergeCell ref="C122:J123"/>
    <x:mergeCell ref="C83:J84"/>
    <x:mergeCell ref="C86:J87"/>
    <x:mergeCell ref="C89:J90"/>
    <x:mergeCell ref="C92:J93"/>
    <x:mergeCell ref="C95:J96"/>
    <x:mergeCell ref="C98:J99"/>
    <x:mergeCell ref="C106:J107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20593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5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78" hidden="0" customWidth="1"/>
  </x:cols>
  <x:sheetData>
    <x:row r="1" ht="22" customHeight="1">
      <x:c r="A1" s="1"/>
      <x:c r="B1" s="1"/>
      <x:c r="C1"/>
      <x:c r="D1"/>
      <x:c r="E1"/>
      <x:c r="F1"/>
      <x:c r="G1"/>
      <x:c r="H1"/>
      <x:c r="I1"/>
      <x:c r="J1"/>
      <x:c r="K1" s="1"/>
      <x:c r="L1" s="1"/>
      <x:c r="M1" s="1"/>
    </x:row>
    <x:row r="2" ht="22" customHeight="1">
      <x:c r="A2" s="1"/>
      <x:c r="B2" s="1"/>
      <x:c r="C2" s="80" t="str">
        <x:v>YardMatch - Town demand and capacity</x:v>
      </x:c>
      <x:c r="D2"/>
      <x:c r="E2"/>
      <x:c r="F2"/>
      <x:c r="G2"/>
      <x:c r="H2"/>
      <x:c r="I2"/>
      <x:c r="J2"/>
      <x:c r="K2" s="1"/>
      <x:c r="L2" s="1"/>
      <x:c r="M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2" customHeight="1">
      <x:c r="A5" s="1"/>
      <x:c r="B5" s="1"/>
      <x:c r="C5" s="81"/>
      <x:c r="D5" s="81" t="n">
        <x:v>2027</x:v>
      </x:c>
      <x:c r="E5" s="81" t="n">
        <x:v>2028</x:v>
      </x:c>
      <x:c r="F5" s="81" t="n">
        <x:v>2029</x:v>
      </x:c>
      <x:c r="G5" s="81" t="n">
        <x:v>2030</x:v>
      </x:c>
      <x:c r="H5" s="81" t="n">
        <x:v>2031</x:v>
      </x:c>
      <x:c r="I5" s="81" t="n">
        <x:v>2032</x:v>
      </x:c>
      <x:c r="J5" s="81" t="n">
        <x:v>2033</x:v>
      </x:c>
      <x:c r="K5" s="1"/>
      <x:c r="L5" s="1"/>
      <x:c r="M5" s="1"/>
    </x:row>
    <x:row r="6" ht="22" customHeight="1">
      <x:c r="A6" s="1"/>
      <x:c r="B6" s="1"/>
      <x:c r="C6" s="1"/>
      <x:c r="D6" s="6"/>
      <x:c r="E6" s="6"/>
      <x:c r="F6" s="6"/>
      <x:c r="G6" s="6"/>
      <x:c r="H6" s="6"/>
      <x:c r="I6" s="6"/>
      <x:c r="J6" s="6"/>
      <x:c r="K6" s="1"/>
      <x:c r="L6" s="1"/>
      <x:c r="M6" s="1"/>
    </x:row>
    <x:row r="7" ht="22" customHeight="1">
      <x:c r="A7" s="1"/>
      <x:c r="B7" s="1"/>
      <x:c r="C7" s="4" t="str">
        <x:v>Launched towns</x:v>
      </x:c>
      <x:c r="D7" s="52" t="n">
        <x:f>IF(D63&gt;0,1,0)+IF(D85&gt;0,1,0)+IF(D107&gt;0,1,0)+IF(D129&gt;0,1,0)+IF(D151&gt;0,1,0)+IF(D173&gt;0,1,0)+IF(D195&gt;0,1,0)+IF(D217&gt;0,1,0)+IF(D239&gt;0,1,0)+IF(D261&gt;0,1,0)+IF(D283&gt;0,1,0)+IF(D305&gt;0,1,0)+IF(D327&gt;0,1,0)+IF(D349&gt;0,1,0)</x:f>
        <x:v>1</x:v>
      </x:c>
      <x:c r="E7" s="52" t="n">
        <x:f>IF(E63&gt;0,1,0)+IF(E85&gt;0,1,0)+IF(E107&gt;0,1,0)+IF(E129&gt;0,1,0)+IF(E151&gt;0,1,0)+IF(E173&gt;0,1,0)+IF(E195&gt;0,1,0)+IF(E217&gt;0,1,0)+IF(E239&gt;0,1,0)+IF(E261&gt;0,1,0)+IF(E283&gt;0,1,0)+IF(E305&gt;0,1,0)+IF(E327&gt;0,1,0)+IF(E349&gt;0,1,0)</x:f>
        <x:v>4</x:v>
      </x:c>
      <x:c r="F7" s="52" t="n">
        <x:f>IF(F63&gt;0,1,0)+IF(F85&gt;0,1,0)+IF(F107&gt;0,1,0)+IF(F129&gt;0,1,0)+IF(F151&gt;0,1,0)+IF(F173&gt;0,1,0)+IF(F195&gt;0,1,0)+IF(F217&gt;0,1,0)+IF(F239&gt;0,1,0)+IF(F261&gt;0,1,0)+IF(F283&gt;0,1,0)+IF(F305&gt;0,1,0)+IF(F327&gt;0,1,0)+IF(F349&gt;0,1,0)</x:f>
        <x:v>6</x:v>
      </x:c>
      <x:c r="G7" s="52" t="n">
        <x:f>IF(G63&gt;0,1,0)+IF(G85&gt;0,1,0)+IF(G107&gt;0,1,0)+IF(G129&gt;0,1,0)+IF(G151&gt;0,1,0)+IF(G173&gt;0,1,0)+IF(G195&gt;0,1,0)+IF(G217&gt;0,1,0)+IF(G239&gt;0,1,0)+IF(G261&gt;0,1,0)+IF(G283&gt;0,1,0)+IF(G305&gt;0,1,0)+IF(G327&gt;0,1,0)+IF(G349&gt;0,1,0)</x:f>
        <x:v>8</x:v>
      </x:c>
      <x:c r="H7" s="52" t="n">
        <x:f>IF(H63&gt;0,1,0)+IF(H85&gt;0,1,0)+IF(H107&gt;0,1,0)+IF(H129&gt;0,1,0)+IF(H151&gt;0,1,0)+IF(H173&gt;0,1,0)+IF(H195&gt;0,1,0)+IF(H217&gt;0,1,0)+IF(H239&gt;0,1,0)+IF(H261&gt;0,1,0)+IF(H283&gt;0,1,0)+IF(H305&gt;0,1,0)+IF(H327&gt;0,1,0)+IF(H349&gt;0,1,0)</x:f>
        <x:v>10</x:v>
      </x:c>
      <x:c r="I7" s="52" t="n">
        <x:f>IF(I63&gt;0,1,0)+IF(I85&gt;0,1,0)+IF(I107&gt;0,1,0)+IF(I129&gt;0,1,0)+IF(I151&gt;0,1,0)+IF(I173&gt;0,1,0)+IF(I195&gt;0,1,0)+IF(I217&gt;0,1,0)+IF(I239&gt;0,1,0)+IF(I261&gt;0,1,0)+IF(I283&gt;0,1,0)+IF(I305&gt;0,1,0)+IF(I327&gt;0,1,0)+IF(I349&gt;0,1,0)</x:f>
        <x:v>12</x:v>
      </x:c>
      <x:c r="J7" s="52" t="n">
        <x:f>IF(J63&gt;0,1,0)+IF(J85&gt;0,1,0)+IF(J107&gt;0,1,0)+IF(J129&gt;0,1,0)+IF(J151&gt;0,1,0)+IF(J173&gt;0,1,0)+IF(J195&gt;0,1,0)+IF(J217&gt;0,1,0)+IF(J239&gt;0,1,0)+IF(J261&gt;0,1,0)+IF(J283&gt;0,1,0)+IF(J305&gt;0,1,0)+IF(J327&gt;0,1,0)+IF(J349&gt;0,1,0)</x:f>
        <x:v>14</x:v>
      </x:c>
      <x:c r="K7" s="1"/>
      <x:c r="L7" s="1"/>
      <x:c r="M7" s="1"/>
    </x:row>
    <x:row r="8" ht="22" customHeight="1">
      <x:c r="A8" s="1"/>
      <x:c r="B8" s="1"/>
      <x:c r="C8" s="1" t="str">
        <x:v>Outsourcing pool in launched towns</x:v>
      </x:c>
      <x:c r="D8" s="11" t="n">
        <x:f>D64+D86+D108+D130+D152+D174+D196+D218+D240+D262+D284+D306+D328+D350</x:f>
        <x:v>3048.7050000000004</x:v>
      </x:c>
      <x:c r="E8" s="11" t="n">
        <x:f>E64+E86+E108+E130+E152+E174+E196+E218+E240+E262+E284+E306+E328+E350</x:f>
        <x:v>12579.919170000001</x:v>
      </x:c>
      <x:c r="F8" s="11" t="n">
        <x:f>F64+F86+F108+F130+F152+F174+F196+F218+F240+F262+F284+F306+F328+F350</x:f>
        <x:v>27220.1127825</x:v>
      </x:c>
      <x:c r="G8" s="11" t="n">
        <x:f>G64+G86+G108+G130+G152+G174+G196+G218+G240+G262+G284+G306+G328+G350</x:f>
        <x:v>44014.9955325</x:v>
      </x:c>
      <x:c r="H8" s="11" t="n">
        <x:f>H64+H86+H108+H130+H152+H174+H196+H218+H240+H262+H284+H306+H328+H350</x:f>
        <x:v>55673.3873325</x:v>
      </x:c>
      <x:c r="I8" s="11" t="n">
        <x:f>I64+I86+I108+I130+I152+I174+I196+I218+I240+I262+I284+I306+I328+I350</x:f>
        <x:v>68433.60382250001</x:v>
      </x:c>
      <x:c r="J8" s="11" t="n">
        <x:f>J64+J86+J108+J130+J152+J174+J196+J218+J240+J262+J284+J306+J328+J350</x:f>
        <x:v>71683.10927</x:v>
      </x:c>
      <x:c r="K8" s="1"/>
      <x:c r="L8" s="1"/>
      <x:c r="M8" s="1"/>
    </x:row>
    <x:row r="9" ht="22" customHeight="1">
      <x:c r="A9" s="1"/>
      <x:c r="B9" s="1"/>
      <x:c r="C9" s="1" t="str">
        <x:v>New first-time households</x:v>
      </x:c>
      <x:c r="D9" s="11" t="n">
        <x:f>D71+D93+D115+D137+D159+D181+D203+D225+D247+D269+D291+D313+D335+D357</x:f>
        <x:v>240</x:v>
      </x:c>
      <x:c r="E9" s="11" t="n">
        <x:f>E71+E93+E115+E137+E159+E181+E203+E225+E247+E269+E291+E313+E335+E357</x:f>
        <x:v>974.0411280000001</x:v>
      </x:c>
      <x:c r="F9" s="11" t="n">
        <x:f>F71+F93+F115+F137+F159+F181+F203+F225+F247+F269+F291+F313+F335+F357</x:f>
        <x:v>2062.0823702</x:v>
      </x:c>
      <x:c r="G9" s="11" t="n">
        <x:f>G71+G93+G115+G137+G159+G181+G203+G225+G247+G269+G291+G313+G335+G357</x:f>
        <x:v>3315.855369016</x:v>
      </x:c>
      <x:c r="H9" s="11" t="n">
        <x:f>H71+H93+H115+H137+H159+H181+H203+H225+H247+H269+H291+H313+H335+H357</x:f>
        <x:v>4455.15009638176</x:v>
      </x:c>
      <x:c r="I9" s="11" t="n">
        <x:f>I71+I93+I115+I137+I159+I181+I203+I225+I247+I269+I291+I313+I335+I357</x:f>
        <x:v>5664.100640304358</x:v>
      </x:c>
      <x:c r="J9" s="11" t="n">
        <x:f>J71+J93+J115+J137+J159+J181+J203+J225+J247+J269+J291+J313+J335+J357</x:f>
        <x:v>6324.098411175661</x:v>
      </x:c>
      <x:c r="K9" s="1"/>
      <x:c r="L9" s="1"/>
      <x:c r="M9" s="1"/>
    </x:row>
    <x:row r="10" ht="22" customHeight="1">
      <x:c r="A10" s="1"/>
      <x:c r="B10" s="1"/>
      <x:c r="C10" s="1" t="str">
        <x:v>Retained households</x:v>
      </x:c>
      <x:c r="D10" s="11" t="n">
        <x:f>D66+D88+D110+D132+D154+D176+D198+D220+D242+D264+D286+D308+D330+D352</x:f>
        <x:v>0</x:v>
      </x:c>
      <x:c r="E10" s="11" t="n">
        <x:f>E66+E88+E110+E132+E154+E176+E198+E220+E242+E264+E286+E308+E330+E352</x:f>
        <x:v>168</x:v>
      </x:c>
      <x:c r="F10" s="11" t="n">
        <x:f>F66+F88+F110+F132+F154+F176+F198+F220+F242+F264+F286+F308+F330+F352</x:f>
        <x:v>856.530846</x:v>
      </x:c>
      <x:c r="G10" s="11" t="n">
        <x:f>G66+G88+G110+G132+G154+G176+G198+G220+G242+G264+G286+G308+G330+G352</x:f>
        <x:v>2276.5183086360003</x:v>
      </x:c>
      <x:c r="H10" s="11" t="n">
        <x:f>H66+H88+H110+H132+H154+H176+H198+H220+H242+H264+H286+H308+H330+H352</x:f>
        <x:v>4473.8989421216</x:v>
      </x:c>
      <x:c r="I10" s="11" t="n">
        <x:f>I66+I88+I110+I132+I154+I176+I198+I220+I242+I264+I286+I308+I330+I352</x:f>
        <x:v>7143.239230802688</x:v>
      </x:c>
      <x:c r="J10" s="11" t="n">
        <x:f>J66+J88+J110+J132+J154+J176+J198+J220+J242+J264+J286+J308+J330+J352</x:f>
        <x:v>10245.871896885637</x:v>
      </x:c>
      <x:c r="K10" s="1"/>
      <x:c r="L10" s="1"/>
      <x:c r="M10" s="1"/>
    </x:row>
    <x:row r="11" ht="22" customHeight="1">
      <x:c r="A11" s="1"/>
      <x:c r="B11" s="1"/>
      <x:c r="C11" s="4" t="str">
        <x:v>Ending active households</x:v>
      </x:c>
      <x:c r="D11" s="52" t="n">
        <x:f>D72+D94+D116+D138+D160+D182+D204+D226+D248+D270+D292+D314+D336+D358</x:f>
        <x:v>240</x:v>
      </x:c>
      <x:c r="E11" s="52" t="n">
        <x:f>E72+E94+E116+E138+E160+E182+E204+E226+E248+E270+E292+E314+E336+E358</x:f>
        <x:v>1142.041128</x:v>
      </x:c>
      <x:c r="F11" s="52" t="n">
        <x:f>F72+F94+F116+F138+F160+F182+F204+F226+F248+F270+F292+F314+F336+F358</x:f>
        <x:v>2918.6132162</x:v>
      </x:c>
      <x:c r="G11" s="52" t="n">
        <x:f>G72+G94+G116+G138+G160+G182+G204+G226+G248+G270+G292+G314+G336+G358</x:f>
        <x:v>5592.373677652</x:v>
      </x:c>
      <x:c r="H11" s="52" t="n">
        <x:f>H72+H94+H116+H138+H160+H182+H204+H226+H248+H270+H292+H314+H336+H358</x:f>
        <x:v>8929.04903850336</x:v>
      </x:c>
      <x:c r="I11" s="52" t="n">
        <x:f>I72+I94+I116+I138+I160+I182+I204+I226+I248+I270+I292+I314+I336+I358</x:f>
        <x:v>12807.339871107048</x:v>
      </x:c>
      <x:c r="J11" s="52" t="n">
        <x:f>J72+J94+J116+J138+J160+J182+J204+J226+J248+J270+J292+J314+J336+J358</x:f>
        <x:v>16569.970308061304</x:v>
      </x:c>
      <x:c r="K11" s="1"/>
      <x:c r="L11" s="1"/>
      <x:c r="M11" s="1"/>
    </x:row>
    <x:row r="12" ht="22" customHeight="1">
      <x:c r="A12" s="1"/>
      <x:c r="B12" s="1"/>
      <x:c r="C12" s="1" t="str">
        <x:v>Full-season equivalent households</x:v>
      </x:c>
      <x:c r="D12" s="11" t="n">
        <x:f>D73+D95+D117+D139+D161+D183+D205+D227+D249+D271+D293+D315+D337+D359</x:f>
        <x:v>120</x:v>
      </x:c>
      <x:c r="E12" s="11" t="n">
        <x:f>E73+E95+E117+E139+E161+E183+E205+E227+E249+E271+E293+E315+E337+E359</x:f>
        <x:v>655.020564</x:v>
      </x:c>
      <x:c r="F12" s="11" t="n">
        <x:f>F73+F95+F117+F139+F161+F183+F205+F227+F249+F271+F293+F315+F337+F359</x:f>
        <x:v>1887.5720311000002</x:v>
      </x:c>
      <x:c r="G12" s="11" t="n">
        <x:f>G73+G95+G117+G139+G161+G183+G205+G227+G249+G271+G293+G315+G337+G359</x:f>
        <x:v>3934.445993144</x:v>
      </x:c>
      <x:c r="H12" s="11" t="n">
        <x:f>H73+H95+H117+H139+H161+H183+H205+H227+H249+H271+H293+H315+H337+H359</x:f>
        <x:v>6701.47399031248</x:v>
      </x:c>
      <x:c r="I12" s="11" t="n">
        <x:f>I73+I95+I117+I139+I161+I183+I205+I227+I249+I271+I293+I315+I337+I359</x:f>
        <x:v>9975.289550954869</x:v>
      </x:c>
      <x:c r="J12" s="11" t="n">
        <x:f>J73+J95+J117+J139+J161+J183+J205+J227+J249+J271+J293+J315+J337+J359</x:f>
        <x:v>13407.92110247347</x:v>
      </x:c>
      <x:c r="K12" s="1"/>
      <x:c r="L12" s="1"/>
      <x:c r="M12" s="1"/>
    </x:row>
    <x:row r="13" ht="22" customHeight="1">
      <x:c r="A13" s="1"/>
      <x:c r="B13" s="1"/>
      <x:c r="C13" s="1" t="str">
        <x:v>Cumulative ever-acquired households</x:v>
      </x:c>
      <x:c r="D13" s="11" t="n">
        <x:f>D74+D96+D118+D140+D162+D184+D206+D228+D250+D272+D294+D316+D338+D360</x:f>
        <x:v>240</x:v>
      </x:c>
      <x:c r="E13" s="11" t="n">
        <x:f>E74+E96+E118+E140+E162+E184+E206+E228+E250+E272+E294+E316+E338+E360</x:f>
        <x:v>1214.041128</x:v>
      </x:c>
      <x:c r="F13" s="11" t="n">
        <x:f>F74+F96+F118+F140+F162+F184+F206+F228+F250+F272+F294+F316+F338+F360</x:f>
        <x:v>3276.1234981999996</x:v>
      </x:c>
      <x:c r="G13" s="11" t="n">
        <x:f>G74+G96+G118+G140+G162+G184+G206+G228+G250+G272+G294+G316+G338+G360</x:f>
        <x:v>6591.978867216</x:v>
      </x:c>
      <x:c r="H13" s="11" t="n">
        <x:f>H74+H96+H118+H140+H162+H184+H206+H228+H250+H272+H294+H316+H338+H360</x:f>
        <x:v>11047.12896359776</x:v>
      </x:c>
      <x:c r="I13" s="11" t="n">
        <x:f>I74+I96+I118+I140+I162+I184+I206+I228+I250+I272+I294+I316+I338+I360</x:f>
        <x:v>16711.229603902117</x:v>
      </x:c>
      <x:c r="J13" s="11" t="n">
        <x:f>J74+J96+J118+J140+J162+J184+J206+J228+J250+J272+J294+J316+J338+J360</x:f>
        <x:v>23035.328015077783</x:v>
      </x:c>
      <x:c r="K13" s="1"/>
      <x:c r="L13" s="1"/>
      <x:c r="M13" s="1"/>
    </x:row>
    <x:row r="14" ht="22" customHeight="1">
      <x:c r="A14" s="1"/>
      <x:c r="B14" s="1"/>
      <x:c r="C14" s="1" t="str">
        <x:v>Qualified household capacity</x:v>
      </x:c>
      <x:c r="D14" s="11" t="n">
        <x:f>D69+D91+D113+D135+D157+D179+D201+D223+D245+D267+D289+D311+D333+D355</x:f>
        <x:v>240</x:v>
      </x:c>
      <x:c r="E14" s="11" t="n">
        <x:f>E69+E91+E113+E135+E157+E179+E201+E223+E245+E267+E289+E311+E333+E355</x:f>
        <x:v>1200</x:v>
      </x:c>
      <x:c r="F14" s="11" t="n">
        <x:f>F69+F91+F113+F135+F157+F179+F201+F223+F245+F267+F289+F311+F333+F355</x:f>
        <x:v>3080</x:v>
      </x:c>
      <x:c r="G14" s="11" t="n">
        <x:f>G69+G91+G113+G135+G157+G179+G201+G223+G245+G267+G289+G311+G333+G355</x:f>
        <x:v>5920</x:v>
      </x:c>
      <x:c r="H14" s="11" t="n">
        <x:f>H69+H91+H113+H135+H157+H179+H201+H223+H245+H267+H289+H311+H333+H355</x:f>
        <x:v>9520</x:v>
      </x:c>
      <x:c r="I14" s="11" t="n">
        <x:f>I69+I91+I113+I135+I157+I179+I201+I223+I245+I267+I289+I311+I333+I355</x:f>
        <x:v>13920</x:v>
      </x:c>
      <x:c r="J14" s="11" t="n">
        <x:f>J69+J91+J113+J135+J157+J179+J201+J223+J245+J267+J289+J311+J333+J355</x:f>
        <x:v>18600</x:v>
      </x:c>
      <x:c r="K14" s="1"/>
      <x:c r="L14" s="1"/>
      <x:c r="M14" s="1"/>
    </x:row>
    <x:row r="15" ht="22" customHeight="1">
      <x:c r="A15" s="1"/>
      <x:c r="B15" s="1"/>
      <x:c r="C15" s="1" t="str">
        <x:v>Planned qualified providers</x:v>
      </x:c>
      <x:c r="D15" s="11" t="n">
        <x:f>D68+D90+D112+D134+D156+D178+D200+D222+D244+D266+D288+D310+D332+D354</x:f>
        <x:v>6</x:v>
      </x:c>
      <x:c r="E15" s="11" t="n">
        <x:f>E68+E90+E112+E134+E156+E178+E200+E222+E244+E266+E288+E310+E332+E354</x:f>
        <x:v>30</x:v>
      </x:c>
      <x:c r="F15" s="11" t="n">
        <x:f>F68+F90+F112+F134+F156+F178+F200+F222+F244+F266+F288+F310+F332+F354</x:f>
        <x:v>77</x:v>
      </x:c>
      <x:c r="G15" s="11" t="n">
        <x:f>G68+G90+G112+G134+G156+G178+G200+G222+G244+G266+G288+G310+G332+G354</x:f>
        <x:v>148</x:v>
      </x:c>
      <x:c r="H15" s="11" t="n">
        <x:f>H68+H90+H112+H134+H156+H178+H200+H222+H244+H266+H288+H310+H332+H354</x:f>
        <x:v>238</x:v>
      </x:c>
      <x:c r="I15" s="11" t="n">
        <x:f>I68+I90+I112+I134+I156+I178+I200+I222+I244+I266+I288+I310+I332+I354</x:f>
        <x:v>348</x:v>
      </x:c>
      <x:c r="J15" s="11" t="n">
        <x:f>J68+J90+J112+J134+J156+J178+J200+J222+J244+J266+J288+J310+J332+J354</x:f>
        <x:v>465</x:v>
      </x:c>
      <x:c r="K15" s="1"/>
      <x:c r="L15" s="1"/>
      <x:c r="M15" s="1"/>
    </x:row>
    <x:row r="16" ht="22" customHeight="1">
      <x:c r="A16" s="1"/>
      <x:c r="B16" s="1"/>
      <x:c r="C16" s="1" t="str">
        <x:v>Ending payout-active providers</x:v>
      </x:c>
      <x:c r="D16" s="11" t="n">
        <x:f>D75+D97+D119+D141+D163+D185+D207+D229+D251+D273+D295+D317+D339+D361</x:f>
        <x:v>6</x:v>
      </x:c>
      <x:c r="E16" s="11" t="n">
        <x:f>E75+E97+E119+E141+E163+E185+E207+E229+E251+E273+E295+E317+E339+E361</x:f>
        <x:v>30</x:v>
      </x:c>
      <x:c r="F16" s="11" t="n">
        <x:f>F75+F97+F119+F141+F163+F185+F207+F229+F251+F273+F295+F317+F339+F361</x:f>
        <x:v>74</x:v>
      </x:c>
      <x:c r="G16" s="11" t="n">
        <x:f>G75+G97+G119+G141+G163+G185+G207+G229+G251+G273+G295+G317+G339+G361</x:f>
        <x:v>142</x:v>
      </x:c>
      <x:c r="H16" s="11" t="n">
        <x:f>H75+H97+H119+H141+H163+H185+H207+H229+H251+H273+H295+H317+H339+H361</x:f>
        <x:v>225</x:v>
      </x:c>
      <x:c r="I16" s="11" t="n">
        <x:f>I75+I97+I119+I141+I163+I185+I207+I229+I251+I273+I295+I317+I339+I361</x:f>
        <x:v>322</x:v>
      </x:c>
      <x:c r="J16" s="11" t="n">
        <x:f>J75+J97+J119+J141+J163+J185+J207+J229+J251+J273+J295+J317+J339+J361</x:f>
        <x:v>417</x:v>
      </x:c>
      <x:c r="K16" s="1"/>
      <x:c r="L16" s="1"/>
      <x:c r="M16" s="1"/>
    </x:row>
    <x:row r="17" ht="22" customHeight="1">
      <x:c r="A17" s="1"/>
      <x:c r="B17" s="1"/>
      <x:c r="C17" s="1" t="str">
        <x:v>Retained active providers</x:v>
      </x:c>
      <x:c r="D17" s="11" t="n">
        <x:f>D76+D98+D120+D142+D164+D186+D208+D230+D252+D274+D296+D318+D340+D362</x:f>
        <x:v>0</x:v>
      </x:c>
      <x:c r="E17" s="11" t="n">
        <x:f>E76+E98+E120+E142+E164+E186+E208+E230+E252+E274+E296+E318+E340+E362</x:f>
        <x:v>5.1</x:v>
      </x:c>
      <x:c r="F17" s="11" t="n">
        <x:f>F76+F98+F120+F142+F164+F186+F208+F230+F252+F274+F296+F318+F340+F362</x:f>
        <x:v>25.5</x:v>
      </x:c>
      <x:c r="G17" s="11" t="n">
        <x:f>G76+G98+G120+G142+G164+G186+G208+G230+G252+G274+G296+G318+G340+G362</x:f>
        <x:v>62.9</x:v>
      </x:c>
      <x:c r="H17" s="11" t="n">
        <x:f>H76+H98+H120+H142+H164+H186+H208+H230+H252+H274+H296+H318+H340+H362</x:f>
        <x:v>120.7</x:v>
      </x:c>
      <x:c r="I17" s="11" t="n">
        <x:f>I76+I98+I120+I142+I164+I186+I208+I230+I252+I274+I296+I318+I340+I362</x:f>
        <x:v>191.25</x:v>
      </x:c>
      <x:c r="J17" s="11" t="n">
        <x:f>J76+J98+J120+J142+J164+J186+J208+J230+J252+J274+J296+J318+J340+J362</x:f>
        <x:v>273.7</x:v>
      </x:c>
      <x:c r="K17" s="1"/>
      <x:c r="L17" s="1"/>
      <x:c r="M17" s="1"/>
    </x:row>
    <x:row r="18" ht="22" customHeight="1">
      <x:c r="A18" s="1"/>
      <x:c r="B18" s="1"/>
      <x:c r="C18" s="1" t="str">
        <x:v>New / replacement active providers</x:v>
      </x:c>
      <x:c r="D18" s="11" t="n">
        <x:f>D77+D99+D121+D143+D165+D187+D209+D231+D253+D275+D297+D319+D341+D363</x:f>
        <x:v>6</x:v>
      </x:c>
      <x:c r="E18" s="11" t="n">
        <x:f>E77+E99+E121+E143+E165+E187+E209+E231+E253+E275+E297+E319+E341+E363</x:f>
        <x:v>24.9</x:v>
      </x:c>
      <x:c r="F18" s="11" t="n">
        <x:f>F77+F99+F121+F143+F165+F187+F209+F231+F253+F275+F297+F319+F341+F363</x:f>
        <x:v>48.5</x:v>
      </x:c>
      <x:c r="G18" s="11" t="n">
        <x:f>G77+G99+G121+G143+G165+G187+G209+G231+G253+G275+G297+G319+G341+G363</x:f>
        <x:v>79.1</x:v>
      </x:c>
      <x:c r="H18" s="11" t="n">
        <x:f>H77+H99+H121+H143+H165+H187+H209+H231+H253+H275+H297+H319+H341+H363</x:f>
        <x:v>104.3</x:v>
      </x:c>
      <x:c r="I18" s="11" t="n">
        <x:f>I77+I99+I121+I143+I165+I187+I209+I231+I253+I275+I297+I319+I341+I363</x:f>
        <x:v>130.75</x:v>
      </x:c>
      <x:c r="J18" s="11" t="n">
        <x:f>J77+J99+J121+J143+J165+J187+J209+J231+J253+J275+J297+J319+J341+J363</x:f>
        <x:v>143.3</x:v>
      </x:c>
      <x:c r="K18" s="1"/>
      <x:c r="L18" s="1"/>
      <x:c r="M18" s="1"/>
    </x:row>
    <x:row r="19" ht="22" customHeight="1">
      <x:c r="A19" s="1"/>
      <x:c r="B19" s="1"/>
      <x:c r="C19" s="1" t="str">
        <x:v>Average payout-active providers</x:v>
      </x:c>
      <x:c r="D19" s="11" t="n">
        <x:f>D78+D100+D122+D144+D166+D188+D210+D232+D254+D276+D298+D320+D342+D364</x:f>
        <x:v>3</x:v>
      </x:c>
      <x:c r="E19" s="11" t="n">
        <x:f>E78+E100+E122+E144+E166+E188+E210+E232+E254+E276+E298+E320+E342+E364</x:f>
        <x:v>17.55</x:v>
      </x:c>
      <x:c r="F19" s="11" t="n">
        <x:f>F78+F100+F122+F144+F166+F188+F210+F232+F254+F276+F298+F320+F342+F364</x:f>
        <x:v>49.75</x:v>
      </x:c>
      <x:c r="G19" s="11" t="n">
        <x:f>G78+G100+G122+G144+G166+G188+G210+G232+G254+G276+G298+G320+G342+G364</x:f>
        <x:v>102.44999999999999</x:v>
      </x:c>
      <x:c r="H19" s="11" t="n">
        <x:f>H78+H100+H122+H144+H166+H188+H210+H232+H254+H276+H298+H320+H342+H364</x:f>
        <x:v>172.84999999999997</x:v>
      </x:c>
      <x:c r="I19" s="11" t="n">
        <x:f>I78+I100+I122+I144+I166+I188+I210+I232+I254+I276+I298+I320+I342+I364</x:f>
        <x:v>256.625</x:v>
      </x:c>
      <x:c r="J19" s="11" t="n">
        <x:f>J78+J100+J122+J144+J166+J188+J210+J232+J254+J276+J298+J320+J342+J364</x:f>
        <x:v>345.34999999999997</x:v>
      </x:c>
      <x:c r="K19" s="1"/>
      <x:c r="L19" s="1"/>
      <x:c r="M19" s="1"/>
    </x:row>
    <x:row r="20" ht="22" customHeight="1">
      <x:c r="A20" s="1"/>
      <x:c r="B20" s="1"/>
      <x:c r="C20" s="1" t="str">
        <x:v>Cash customer acquisition</x:v>
      </x:c>
      <x:c r="D20" s="22" t="n">
        <x:f>D79+D101+D123+D145+D167+D189+D211+D233+D255+D277+D299+D321+D343+D365</x:f>
        <x:v>13200</x:v>
      </x:c>
      <x:c r="E20" s="22" t="n">
        <x:f>E79+E101+E123+E145+E167+E189+E211+E233+E255+E277+E299+E321+E343+E365</x:f>
        <x:v>52865.8982547092</x:v>
      </x:c>
      <x:c r="F20" s="22" t="n">
        <x:f>F79+F101+F123+F145+F167+F189+F211+F233+F255+F277+F299+F321+F343+F365</x:f>
        <x:v>101770.86845797404</x:v>
      </x:c>
      <x:c r="G20" s="22" t="n">
        <x:f>G79+G101+G123+G145+G167+G189+G211+G233+G255+G277+G299+G321+G343+G365</x:f>
        <x:v>154661.66770175577</x:v>
      </x:c>
      <x:c r="H20" s="22" t="n">
        <x:f>H79+H101+H123+H145+H167+H189+H211+H233+H255+H277+H299+H321+H343+H365</x:f>
        <x:v>197565.71423976403</x:v>
      </x:c>
      <x:c r="I20" s="22" t="n">
        <x:f>I79+I101+I123+I145+I167+I189+I211+I233+I255+I277+I299+I321+I343+I365</x:f>
        <x:v>239765.96160622808</x:v>
      </x:c>
      <x:c r="J20" s="22" t="n">
        <x:f>J79+J101+J123+J145+J167+J189+J211+J233+J255+J277+J299+J321+J343+J365</x:f>
        <x:v>252963.93644702647</x:v>
      </x:c>
      <x:c r="K20" s="1"/>
      <x:c r="L20" s="1"/>
      <x:c r="M20" s="1"/>
    </x:row>
    <x:row r="21" ht="22" customHeight="1">
      <x:c r="A21" s="1"/>
      <x:c r="B21" s="1"/>
      <x:c r="C21" s="1" t="str">
        <x:v>Local launch spend</x:v>
      </x:c>
      <x:c r="D21" s="22" t="n">
        <x:f>D80+D102+D124+D146+D168+D190+D212+D234+D256+D278+D300+D322+D344+D366</x:f>
        <x:v>15000</x:v>
      </x:c>
      <x:c r="E21" s="22" t="n">
        <x:f>E80+E102+E124+E146+E168+E190+E212+E234+E256+E278+E300+E322+E344+E366</x:f>
        <x:v>41200</x:v>
      </x:c>
      <x:c r="F21" s="22" t="n">
        <x:f>F80+F102+F124+F146+F168+F190+F212+F234+F256+F278+F300+F322+F344+F366</x:f>
        <x:v>47740.5</x:v>
      </x:c>
      <x:c r="G21" s="22" t="n">
        <x:f>G80+G102+G124+G146+G168+G190+G212+G234+G256+G278+G300+G322+G344+G366</x:f>
        <x:v>54636.35</x:v>
      </x:c>
      <x:c r="H21" s="22" t="n">
        <x:f>H80+H102+H124+H146+H168+H190+H212+H234+H256+H278+H300+H322+H344+H366</x:f>
        <x:v>50647.89645</x:v>
      </x:c>
      <x:c r="I21" s="22" t="n">
        <x:f>I80+I102+I124+I146+I168+I190+I212+I234+I256+I278+I300+I322+I344+I366</x:f>
        <x:v>52167.3333435</x:v>
      </x:c>
      <x:c r="J21" s="22" t="n">
        <x:f>J80+J102+J124+J146+J168+J190+J212+J234+J256+J278+J300+J322+J344+J366</x:f>
        <x:v>41791.830378515006</x:v>
      </x:c>
      <x:c r="K21" s="1"/>
      <x:c r="L21" s="1"/>
      <x:c r="M21" s="1"/>
    </x:row>
    <x:row r="22" ht="22" customHeight="1">
      <x:c r="A22" s="1"/>
      <x:c r="B22" s="1"/>
      <x:c r="C22" s="1" t="str">
        <x:v>Recurring local coverage costs</x:v>
      </x:c>
      <x:c r="D22" s="22" t="n">
        <x:f>D81+D103+D125+D147+D169+D191+D213+D235+D257+D279+D301+D323+D345+D367</x:f>
        <x:v>3000</x:v>
      </x:c>
      <x:c r="E22" s="22" t="n">
        <x:f>E81+E103+E125+E147+E169+E191+E213+E235+E257+E279+E301+E323+E345+E367</x:f>
        <x:v>14420</x:v>
      </x:c>
      <x:c r="F22" s="22" t="n">
        <x:f>F81+F103+F125+F147+F169+F191+F213+F235+F257+F279+F301+F323+F345+F367</x:f>
        <x:v>32887.899999999994</x:v>
      </x:c>
      <x:c r="G22" s="22" t="n">
        <x:f>G81+G103+G125+G147+G169+G191+G213+G235+G257+G279+G301+G323+G345+G367</x:f>
        <x:v>54636.350000000006</x:v>
      </x:c>
      <x:c r="H22" s="22" t="n">
        <x:f>H81+H103+H125+H147+H169+H191+H213+H235+H257+H279+H301+H323+H345+H367</x:f>
        <x:v>77660.10789</x:v>
      </x:c>
      <x:c r="I22" s="22" t="n">
        <x:f>I81+I103+I125+I147+I169+I191+I213+I235+I257+I279+I301+I323+I345+I367</x:f>
        <x:v>100856.84446410001</x:v>
      </x:c>
      <x:c r="J22" s="22" t="n">
        <x:f>J81+J103+J125+J147+J169+J191+J213+J235+J257+J279+J301+J323+J345+J367</x:f>
        <x:v>121793.33424595802</x:v>
      </x:c>
      <x:c r="K22" s="1"/>
      <x:c r="L22" s="1"/>
      <x:c r="M22" s="1"/>
    </x:row>
    <x:row r="23" ht="22" customHeight="1">
      <x:c r="A23" s="1"/>
      <x:c r="B23" s="1"/>
      <x:c r="C23" s="4" t="str">
        <x:v>Total local operating spend</x:v>
      </x:c>
      <x:c r="D23" s="24" t="n">
        <x:f>SUM(D21:D22)</x:f>
        <x:v>18000</x:v>
      </x:c>
      <x:c r="E23" s="24" t="n">
        <x:f>SUM(E21:E22)</x:f>
        <x:v>55620</x:v>
      </x:c>
      <x:c r="F23" s="24" t="n">
        <x:f>SUM(F21:F22)</x:f>
        <x:v>80628.4</x:v>
      </x:c>
      <x:c r="G23" s="24" t="n">
        <x:f>SUM(G21:G22)</x:f>
        <x:v>109272.70000000001</x:v>
      </x:c>
      <x:c r="H23" s="24" t="n">
        <x:f>SUM(H21:H22)</x:f>
        <x:v>128308.00434</x:v>
      </x:c>
      <x:c r="I23" s="24" t="n">
        <x:f>SUM(I21:I22)</x:f>
        <x:v>153024.1778076</x:v>
      </x:c>
      <x:c r="J23" s="24" t="n">
        <x:f>SUM(J21:J22)</x:f>
        <x:v>163585.16462447302</x:v>
      </x:c>
      <x:c r="K23" s="1"/>
      <x:c r="L23" s="1"/>
      <x:c r="M23" s="1"/>
    </x:row>
    <x:row r="24" ht="22" customHeight="1">
      <x:c r="A24" s="1"/>
      <x:c r="B24" s="1"/>
      <x:c r="C24" s="4" t="str">
        <x:v>Core paid employees</x:v>
      </x:c>
      <x:c r="D24" s="53" t="n">
        <x:f>MIN('Town inputs'!$D$81,'Town inputs'!$D$68+ROUNDUP(MAX(0,D11-'Town inputs'!$D$69)/'Town inputs'!$D$70,0))</x:f>
        <x:v>3</x:v>
      </x:c>
      <x:c r="E24" s="53" t="n">
        <x:f>MIN('Town inputs'!$D$81,'Town inputs'!$D$68+ROUNDUP(MAX(0,E11-'Town inputs'!$D$69)/'Town inputs'!$D$70,0))</x:f>
        <x:v>4</x:v>
      </x:c>
      <x:c r="F24" s="53" t="n">
        <x:f>MIN('Town inputs'!$D$81,'Town inputs'!$D$68+ROUNDUP(MAX(0,F11-'Town inputs'!$D$69)/'Town inputs'!$D$70,0))</x:f>
        <x:v>4</x:v>
      </x:c>
      <x:c r="G24" s="53" t="n">
        <x:f>MIN('Town inputs'!$D$81,'Town inputs'!$D$68+ROUNDUP(MAX(0,G11-'Town inputs'!$D$69)/'Town inputs'!$D$70,0))</x:f>
        <x:v>5</x:v>
      </x:c>
      <x:c r="H24" s="53" t="n">
        <x:f>MIN('Town inputs'!$D$81,'Town inputs'!$D$68+ROUNDUP(MAX(0,H11-'Town inputs'!$D$69)/'Town inputs'!$D$70,0))</x:f>
        <x:v>5</x:v>
      </x:c>
      <x:c r="I24" s="53" t="n">
        <x:f>MIN('Town inputs'!$D$81,'Town inputs'!$D$68+ROUNDUP(MAX(0,I11-'Town inputs'!$D$69)/'Town inputs'!$D$70,0))</x:f>
        <x:v>5</x:v>
      </x:c>
      <x:c r="J24" s="53" t="n">
        <x:f>MIN('Town inputs'!$D$81,'Town inputs'!$D$68+ROUNDUP(MAX(0,J11-'Town inputs'!$D$69)/'Town inputs'!$D$70,0))</x:f>
        <x:v>5</x:v>
      </x:c>
      <x:c r="K24" s="1"/>
      <x:c r="L24" s="1"/>
      <x:c r="M24" s="1"/>
    </x:row>
    <x:row r="25" ht="22" customHeight="1">
      <x:c r="A25" s="1"/>
      <x:c r="B25" s="1"/>
      <x:c r="C25" s="1" t="str">
        <x:v>Corporate overhead</x:v>
      </x:c>
      <x:c r="D25" s="50" t="n">
        <x:f>'Town inputs'!$D$71*(1+'Town inputs'!$D$67)^0</x:f>
        <x:v>42000</x:v>
      </x:c>
      <x:c r="E25" s="50" t="n">
        <x:f>'Town inputs'!$D$71*(1+'Town inputs'!$D$67)^1</x:f>
        <x:v>43260</x:v>
      </x:c>
      <x:c r="F25" s="50" t="n">
        <x:f>'Town inputs'!$D$71*(1+'Town inputs'!$D$67)^2</x:f>
        <x:v>44557.799999999996</x:v>
      </x:c>
      <x:c r="G25" s="50" t="n">
        <x:f>'Town inputs'!$D$71*(1+'Town inputs'!$D$67)^3</x:f>
        <x:v>45894.534</x:v>
      </x:c>
      <x:c r="H25" s="50" t="n">
        <x:f>'Town inputs'!$D$71*(1+'Town inputs'!$D$67)^4</x:f>
        <x:v>47271.37002000001</x:v>
      </x:c>
      <x:c r="I25" s="50" t="n">
        <x:f>'Town inputs'!$D$71*(1+'Town inputs'!$D$67)^5</x:f>
        <x:v>48689.5111206</x:v>
      </x:c>
      <x:c r="J25" s="50" t="n">
        <x:f>'Town inputs'!$D$71*(1+'Town inputs'!$D$67)^6</x:f>
        <x:v>50150.19645421801</x:v>
      </x:c>
      <x:c r="K25" s="1"/>
      <x:c r="L25" s="1"/>
      <x:c r="M25" s="1"/>
    </x:row>
    <x:row r="26" ht="22" customHeight="1">
      <x:c r="A26" s="1"/>
      <x:c r="B26" s="1"/>
      <x:c r="C26" s="1" t="str">
        <x:v>Equipment capex</x:v>
      </x:c>
      <x:c r="D26" s="50" t="n">
        <x:f>D24*'Town inputs'!$D$72</x:f>
        <x:v>15000</x:v>
      </x:c>
      <x:c r="E26" s="50" t="n">
        <x:f>E24*'Town inputs'!$D$72</x:f>
        <x:v>20000</x:v>
      </x:c>
      <x:c r="F26" s="50" t="n">
        <x:f>F24*'Town inputs'!$D$72</x:f>
        <x:v>20000</x:v>
      </x:c>
      <x:c r="G26" s="50" t="n">
        <x:f>G24*'Town inputs'!$D$72</x:f>
        <x:v>25000</x:v>
      </x:c>
      <x:c r="H26" s="50" t="n">
        <x:f>H24*'Town inputs'!$D$72</x:f>
        <x:v>25000</x:v>
      </x:c>
      <x:c r="I26" s="50" t="n">
        <x:f>I24*'Town inputs'!$D$72</x:f>
        <x:v>25000</x:v>
      </x:c>
      <x:c r="J26" s="50" t="n">
        <x:f>J24*'Town inputs'!$D$72</x:f>
        <x:v>25000</x:v>
      </x:c>
      <x:c r="K26" s="1"/>
      <x:c r="L26" s="1"/>
      <x:c r="M26" s="1"/>
    </x:row>
    <x:row r="27" ht="22" customHeight="1">
      <x:c r="A27" s="1"/>
      <x:c r="B27" s="1"/>
      <x:c r="C27" s="1" t="str">
        <x:v>Weighted customer CAC</x:v>
      </x:c>
      <x:c r="D27" s="22" t="n">
        <x:f>IFERROR(D20/D9,0)</x:f>
        <x:v>55</x:v>
      </x:c>
      <x:c r="E27" s="22" t="n">
        <x:f>IFERROR(E20/E9,0)</x:f>
        <x:v>54.2748111296479</x:v>
      </x:c>
      <x:c r="F27" s="22" t="n">
        <x:f>IFERROR(F20/F9,0)</x:f>
        <x:v>49.35344481321731</x:v>
      </x:c>
      <x:c r="G27" s="22" t="n">
        <x:f>IFERROR(G20/G9,0)</x:f>
        <x:v>46.64306807436313</x:v>
      </x:c>
      <x:c r="H27" s="22" t="n">
        <x:f>IFERROR(H20/H9,0)</x:f>
        <x:v>44.34546759720095</x:v>
      </x:c>
      <x:c r="I27" s="22" t="n">
        <x:f>IFERROR(I20/I9,0)</x:f>
        <x:v>42.33080886665608</x:v>
      </x:c>
      <x:c r="J27" s="22" t="n">
        <x:f>IFERROR(J20/J9,0)</x:f>
        <x:v>40.00000000000001</x:v>
      </x:c>
      <x:c r="K27" s="1"/>
      <x:c r="L27" s="1"/>
      <x:c r="M27" s="1"/>
    </x:row>
    <x:row r="28" ht="22" customHeight="1">
      <x:c r="A28" s="1"/>
      <x:c r="B28" s="1"/>
      <x:c r="C28" s="1"/>
      <x:c r="D28" s="6"/>
      <x:c r="E28" s="6"/>
      <x:c r="F28" s="6"/>
      <x:c r="G28" s="6"/>
      <x:c r="H28" s="6"/>
      <x:c r="I28" s="6"/>
      <x:c r="J28" s="6"/>
      <x:c r="K28" s="1"/>
      <x:c r="L28" s="1"/>
      <x:c r="M28" s="1"/>
    </x:row>
    <x:row r="29" ht="22" customHeight="1">
      <x:c r="A29" s="1"/>
      <x:c r="B29" s="1"/>
      <x:c r="C29" s="1" t="str">
        <x:v>Share of launched pool active</x:v>
      </x:c>
      <x:c r="D29" s="16" t="n">
        <x:f>IFERROR(D11/D8,0)</x:f>
        <x:v>0.07872194915546107</x:v>
      </x:c>
      <x:c r="E29" s="16" t="n">
        <x:f>IFERROR(E11/E8,0)</x:f>
        <x:v>0.09078286692997885</x:v>
      </x:c>
      <x:c r="F29" s="16" t="n">
        <x:f>IFERROR(F11/F8,0)</x:f>
        <x:v>0.10722267168842874</x:v>
      </x:c>
      <x:c r="G29" s="16" t="n">
        <x:f>IFERROR(G11/G8,0)</x:f>
        <x:v>0.12705610008576912</x:v>
      </x:c>
      <x:c r="H29" s="16" t="n">
        <x:f>IFERROR(H11/H8,0)</x:f>
        <x:v>0.16038271544671978</x:v>
      </x:c>
      <x:c r="I29" s="16" t="n">
        <x:f>IFERROR(I11/I8,0)</x:f>
        <x:v>0.187149867254195</x:v>
      </x:c>
      <x:c r="J29" s="16" t="n">
        <x:f>IFERROR(J11/J8,0)</x:f>
        <x:v>0.23115585354492957</x:v>
      </x:c>
      <x:c r="K29" s="1"/>
      <x:c r="L29" s="1"/>
      <x:c r="M29" s="1"/>
    </x:row>
    <x:row r="30" ht="22" customHeight="1">
      <x:c r="A30" s="1"/>
      <x:c r="B30" s="1"/>
      <x:c r="C30" s="1"/>
      <x:c r="D30" s="6"/>
      <x:c r="E30" s="6"/>
      <x:c r="F30" s="6"/>
      <x:c r="G30" s="6"/>
      <x:c r="H30" s="6"/>
      <x:c r="I30" s="6"/>
      <x:c r="J30" s="6"/>
      <x:c r="K30" s="1"/>
      <x:c r="L30" s="1"/>
      <x:c r="M30" s="1"/>
    </x:row>
    <x:row r="31" ht="22" customHeight="1">
      <x:c r="A31" s="1"/>
      <x:c r="B31" s="1"/>
      <x:c r="C31" s="1" t="str">
        <x:v>Households above qualified capacity</x:v>
      </x:c>
      <x:c r="D31" s="11" t="n">
        <x:f>MAX(0,D72-D69)+MAX(0,D94-D91)+MAX(0,D116-D113)+MAX(0,D138-D135)+MAX(0,D160-D157)+MAX(0,D182-D179)+MAX(0,D204-D201)+MAX(0,D226-D223)+MAX(0,D248-D245)+MAX(0,D270-D267)+MAX(0,D292-D289)+MAX(0,D314-D311)+MAX(0,D336-D333)+MAX(0,D358-D355)</x:f>
        <x:v>0</x:v>
      </x:c>
      <x:c r="E31" s="11" t="n">
        <x:f>MAX(0,E72-E69)+MAX(0,E94-E91)+MAX(0,E116-E113)+MAX(0,E138-E135)+MAX(0,E160-E157)+MAX(0,E182-E179)+MAX(0,E204-E201)+MAX(0,E226-E223)+MAX(0,E248-E245)+MAX(0,E270-E267)+MAX(0,E292-E289)+MAX(0,E314-E311)+MAX(0,E336-E333)+MAX(0,E358-E355)</x:f>
        <x:v>0</x:v>
      </x:c>
      <x:c r="F31" s="11" t="n">
        <x:f>MAX(0,F72-F69)+MAX(0,F94-F91)+MAX(0,F116-F113)+MAX(0,F138-F135)+MAX(0,F160-F157)+MAX(0,F182-F179)+MAX(0,F204-F201)+MAX(0,F226-F223)+MAX(0,F248-F245)+MAX(0,F270-F267)+MAX(0,F292-F289)+MAX(0,F314-F311)+MAX(0,F336-F333)+MAX(0,F358-F355)</x:f>
        <x:v>0</x:v>
      </x:c>
      <x:c r="G31" s="11" t="n">
        <x:f>MAX(0,G72-G69)+MAX(0,G94-G91)+MAX(0,G116-G113)+MAX(0,G138-G135)+MAX(0,G160-G157)+MAX(0,G182-G179)+MAX(0,G204-G201)+MAX(0,G226-G223)+MAX(0,G248-G245)+MAX(0,G270-G267)+MAX(0,G292-G289)+MAX(0,G314-G311)+MAX(0,G336-G333)+MAX(0,G358-G355)</x:f>
        <x:v>0</x:v>
      </x:c>
      <x:c r="H31" s="11" t="n">
        <x:f>MAX(0,H72-H69)+MAX(0,H94-H91)+MAX(0,H116-H113)+MAX(0,H138-H135)+MAX(0,H160-H157)+MAX(0,H182-H179)+MAX(0,H204-H201)+MAX(0,H226-H223)+MAX(0,H248-H245)+MAX(0,H270-H267)+MAX(0,H292-H289)+MAX(0,H314-H311)+MAX(0,H336-H333)+MAX(0,H358-H355)</x:f>
        <x:v>0</x:v>
      </x:c>
      <x:c r="I31" s="11" t="n">
        <x:f>MAX(0,I72-I69)+MAX(0,I94-I91)+MAX(0,I116-I113)+MAX(0,I138-I135)+MAX(0,I160-I157)+MAX(0,I182-I179)+MAX(0,I204-I201)+MAX(0,I226-I223)+MAX(0,I248-I245)+MAX(0,I270-I267)+MAX(0,I292-I289)+MAX(0,I314-I311)+MAX(0,I336-I333)+MAX(0,I358-I355)</x:f>
        <x:v>0</x:v>
      </x:c>
      <x:c r="J31" s="11" t="n">
        <x:f>MAX(0,J72-J69)+MAX(0,J94-J91)+MAX(0,J116-J113)+MAX(0,J138-J135)+MAX(0,J160-J157)+MAX(0,J182-J179)+MAX(0,J204-J201)+MAX(0,J226-J223)+MAX(0,J248-J245)+MAX(0,J270-J267)+MAX(0,J292-J289)+MAX(0,J314-J311)+MAX(0,J336-J333)+MAX(0,J358-J355)</x:f>
        <x:v>0</x:v>
      </x:c>
      <x:c r="K31" s="1"/>
      <x:c r="L31" s="1"/>
      <x:c r="M31" s="1"/>
    </x:row>
    <x:row r="32" ht="22" customHeight="1">
      <x:c r="A32" s="1"/>
      <x:c r="B32" s="1"/>
      <x:c r="C32" s="1" t="str">
        <x:v>Ever-acquired above outsourcing pool</x:v>
      </x:c>
      <x:c r="D32" s="11" t="n">
        <x:f>MAX(0,D74-D64)+MAX(0,D96-D86)+MAX(0,D118-D108)+MAX(0,D140-D130)+MAX(0,D162-D152)+MAX(0,D184-D174)+MAX(0,D206-D196)+MAX(0,D228-D218)+MAX(0,D250-D240)+MAX(0,D272-D262)+MAX(0,D294-D284)+MAX(0,D316-D306)+MAX(0,D338-D328)+MAX(0,D360-D350)</x:f>
        <x:v>0</x:v>
      </x:c>
      <x:c r="E32" s="11" t="n">
        <x:f>MAX(0,E74-E64)+MAX(0,E96-E86)+MAX(0,E118-E108)+MAX(0,E140-E130)+MAX(0,E162-E152)+MAX(0,E184-E174)+MAX(0,E206-E196)+MAX(0,E228-E218)+MAX(0,E250-E240)+MAX(0,E272-E262)+MAX(0,E294-E284)+MAX(0,E316-E306)+MAX(0,E338-E328)+MAX(0,E360-E350)</x:f>
        <x:v>0</x:v>
      </x:c>
      <x:c r="F32" s="11" t="n">
        <x:f>MAX(0,F74-F64)+MAX(0,F96-F86)+MAX(0,F118-F108)+MAX(0,F140-F130)+MAX(0,F162-F152)+MAX(0,F184-F174)+MAX(0,F206-F196)+MAX(0,F228-F218)+MAX(0,F250-F240)+MAX(0,F272-F262)+MAX(0,F294-F284)+MAX(0,F316-F306)+MAX(0,F338-F328)+MAX(0,F360-F350)</x:f>
        <x:v>0</x:v>
      </x:c>
      <x:c r="G32" s="11" t="n">
        <x:f>MAX(0,G74-G64)+MAX(0,G96-G86)+MAX(0,G118-G108)+MAX(0,G140-G130)+MAX(0,G162-G152)+MAX(0,G184-G174)+MAX(0,G206-G196)+MAX(0,G228-G218)+MAX(0,G250-G240)+MAX(0,G272-G262)+MAX(0,G294-G284)+MAX(0,G316-G306)+MAX(0,G338-G328)+MAX(0,G360-G350)</x:f>
        <x:v>0</x:v>
      </x:c>
      <x:c r="H32" s="11" t="n">
        <x:f>MAX(0,H74-H64)+MAX(0,H96-H86)+MAX(0,H118-H108)+MAX(0,H140-H130)+MAX(0,H162-H152)+MAX(0,H184-H174)+MAX(0,H206-H196)+MAX(0,H228-H218)+MAX(0,H250-H240)+MAX(0,H272-H262)+MAX(0,H294-H284)+MAX(0,H316-H306)+MAX(0,H338-H328)+MAX(0,H360-H350)</x:f>
        <x:v>0</x:v>
      </x:c>
      <x:c r="I32" s="11" t="n">
        <x:f>MAX(0,I74-I64)+MAX(0,I96-I86)+MAX(0,I118-I108)+MAX(0,I140-I130)+MAX(0,I162-I152)+MAX(0,I184-I174)+MAX(0,I206-I196)+MAX(0,I228-I218)+MAX(0,I250-I240)+MAX(0,I272-I262)+MAX(0,I294-I284)+MAX(0,I316-I306)+MAX(0,I338-I328)+MAX(0,I360-I350)</x:f>
        <x:v>0</x:v>
      </x:c>
      <x:c r="J32" s="11" t="n">
        <x:f>MAX(0,J74-J64)+MAX(0,J96-J86)+MAX(0,J118-J108)+MAX(0,J140-J130)+MAX(0,J162-J152)+MAX(0,J184-J174)+MAX(0,J206-J196)+MAX(0,J228-J218)+MAX(0,J250-J240)+MAX(0,J272-J262)+MAX(0,J294-J284)+MAX(0,J316-J306)+MAX(0,J338-J328)+MAX(0,J360-J350)</x:f>
        <x:v>0</x:v>
      </x:c>
      <x:c r="K32" s="1"/>
      <x:c r="L32" s="1"/>
      <x:c r="M32" s="1"/>
    </x:row>
    <x:row r="33" ht="22" customHeight="1">
      <x:c r="A33" s="1"/>
      <x:c r="B33" s="1"/>
      <x:c r="C33" s="1" t="str">
        <x:v>Invalid input count</x:v>
      </x:c>
      <x:c r="D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E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F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G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H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I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J33" s="49" t="n">
        <x:f>IF(OR('Town inputs'!$E$26&lt;0,'Town inputs'!$E$26&gt;1,'Town inputs'!$F$26&lt;0,'Town inputs'!$F$26&gt;1,'Town inputs'!$H$26&lt;0,'Town inputs'!$I$26&lt;0,'Town inputs'!$I$45&lt;0,'Town inputs'!$G$26&lt;1,'Town inputs'!$G$26&gt;3,MOD('Town inputs'!$G$26,1)&lt;&gt;0,'Town inputs'!$D$26&lt;2027,MOD('Town inputs'!$D$26,1)&lt;&gt;0,'Town inputs'!$J$26&lt;0,'Town inputs'!$D$45&lt;0,'Town inputs'!$E$45&lt;0),1,0)+IF(OR('Town inputs'!$E$27&lt;0,'Town inputs'!$E$27&gt;1,'Town inputs'!$F$27&lt;0,'Town inputs'!$F$27&gt;1,'Town inputs'!$H$27&lt;0,'Town inputs'!$I$27&lt;0,'Town inputs'!$I$46&lt;0,'Town inputs'!$G$27&lt;1,'Town inputs'!$G$27&gt;3,MOD('Town inputs'!$G$27,1)&lt;&gt;0,'Town inputs'!$D$27&lt;2027,MOD('Town inputs'!$D$27,1)&lt;&gt;0,'Town inputs'!$J$27&lt;0,'Town inputs'!$D$46&lt;0,'Town inputs'!$E$46&lt;0),1,0)+IF(OR('Town inputs'!$E$28&lt;0,'Town inputs'!$E$28&gt;1,'Town inputs'!$F$28&lt;0,'Town inputs'!$F$28&gt;1,'Town inputs'!$H$28&lt;0,'Town inputs'!$I$28&lt;0,'Town inputs'!$I$47&lt;0,'Town inputs'!$G$28&lt;1,'Town inputs'!$G$28&gt;3,MOD('Town inputs'!$G$28,1)&lt;&gt;0,'Town inputs'!$D$28&lt;2027,MOD('Town inputs'!$D$28,1)&lt;&gt;0,'Town inputs'!$J$28&lt;0,'Town inputs'!$D$47&lt;0,'Town inputs'!$E$47&lt;0),1,0)+IF(OR('Town inputs'!$E$29&lt;0,'Town inputs'!$E$29&gt;1,'Town inputs'!$F$29&lt;0,'Town inputs'!$F$29&gt;1,'Town inputs'!$H$29&lt;0,'Town inputs'!$I$29&lt;0,'Town inputs'!$I$48&lt;0,'Town inputs'!$G$29&lt;1,'Town inputs'!$G$29&gt;3,MOD('Town inputs'!$G$29,1)&lt;&gt;0,'Town inputs'!$D$29&lt;2027,MOD('Town inputs'!$D$29,1)&lt;&gt;0,'Town inputs'!$J$29&lt;0,'Town inputs'!$D$48&lt;0,'Town inputs'!$E$48&lt;0),1,0)+IF(OR('Town inputs'!$E$30&lt;0,'Town inputs'!$E$30&gt;1,'Town inputs'!$F$30&lt;0,'Town inputs'!$F$30&gt;1,'Town inputs'!$H$30&lt;0,'Town inputs'!$I$30&lt;0,'Town inputs'!$I$49&lt;0,'Town inputs'!$G$30&lt;1,'Town inputs'!$G$30&gt;3,MOD('Town inputs'!$G$30,1)&lt;&gt;0,'Town inputs'!$D$30&lt;2027,MOD('Town inputs'!$D$30,1)&lt;&gt;0,'Town inputs'!$J$30&lt;0,'Town inputs'!$D$49&lt;0,'Town inputs'!$E$49&lt;0),1,0)+IF(OR('Town inputs'!$E$31&lt;0,'Town inputs'!$E$31&gt;1,'Town inputs'!$F$31&lt;0,'Town inputs'!$F$31&gt;1,'Town inputs'!$H$31&lt;0,'Town inputs'!$I$31&lt;0,'Town inputs'!$I$50&lt;0,'Town inputs'!$G$31&lt;1,'Town inputs'!$G$31&gt;3,MOD('Town inputs'!$G$31,1)&lt;&gt;0,'Town inputs'!$D$31&lt;2027,MOD('Town inputs'!$D$31,1)&lt;&gt;0,'Town inputs'!$J$31&lt;0,'Town inputs'!$D$50&lt;0,'Town inputs'!$E$50&lt;0),1,0)+IF(OR('Town inputs'!$E$32&lt;0,'Town inputs'!$E$32&gt;1,'Town inputs'!$F$32&lt;0,'Town inputs'!$F$32&gt;1,'Town inputs'!$H$32&lt;0,'Town inputs'!$I$32&lt;0,'Town inputs'!$I$51&lt;0,'Town inputs'!$G$32&lt;1,'Town inputs'!$G$32&gt;3,MOD('Town inputs'!$G$32,1)&lt;&gt;0,'Town inputs'!$D$32&lt;2027,MOD('Town inputs'!$D$32,1)&lt;&gt;0,'Town inputs'!$J$32&lt;0,'Town inputs'!$D$51&lt;0,'Town inputs'!$E$51&lt;0),1,0)+IF(OR('Town inputs'!$E$33&lt;0,'Town inputs'!$E$33&gt;1,'Town inputs'!$F$33&lt;0,'Town inputs'!$F$33&gt;1,'Town inputs'!$H$33&lt;0,'Town inputs'!$I$33&lt;0,'Town inputs'!$I$52&lt;0,'Town inputs'!$G$33&lt;1,'Town inputs'!$G$33&gt;3,MOD('Town inputs'!$G$33,1)&lt;&gt;0,'Town inputs'!$D$33&lt;2027,MOD('Town inputs'!$D$33,1)&lt;&gt;0,'Town inputs'!$J$33&lt;0,'Town inputs'!$D$52&lt;0,'Town inputs'!$E$52&lt;0),1,0)+IF(OR('Town inputs'!$E$34&lt;0,'Town inputs'!$E$34&gt;1,'Town inputs'!$F$34&lt;0,'Town inputs'!$F$34&gt;1,'Town inputs'!$H$34&lt;0,'Town inputs'!$I$34&lt;0,'Town inputs'!$I$53&lt;0,'Town inputs'!$G$34&lt;1,'Town inputs'!$G$34&gt;3,MOD('Town inputs'!$G$34,1)&lt;&gt;0,'Town inputs'!$D$34&lt;2027,MOD('Town inputs'!$D$34,1)&lt;&gt;0,'Town inputs'!$J$34&lt;0,'Town inputs'!$D$53&lt;0,'Town inputs'!$E$53&lt;0),1,0)+IF(OR('Town inputs'!$E$35&lt;0,'Town inputs'!$E$35&gt;1,'Town inputs'!$F$35&lt;0,'Town inputs'!$F$35&gt;1,'Town inputs'!$H$35&lt;0,'Town inputs'!$I$35&lt;0,'Town inputs'!$I$54&lt;0,'Town inputs'!$G$35&lt;1,'Town inputs'!$G$35&gt;3,MOD('Town inputs'!$G$35,1)&lt;&gt;0,'Town inputs'!$D$35&lt;2027,MOD('Town inputs'!$D$35,1)&lt;&gt;0,'Town inputs'!$J$35&lt;0,'Town inputs'!$D$54&lt;0,'Town inputs'!$E$54&lt;0),1,0)+IF(OR('Town inputs'!$E$36&lt;0,'Town inputs'!$E$36&gt;1,'Town inputs'!$F$36&lt;0,'Town inputs'!$F$36&gt;1,'Town inputs'!$H$36&lt;0,'Town inputs'!$I$36&lt;0,'Town inputs'!$I$55&lt;0,'Town inputs'!$G$36&lt;1,'Town inputs'!$G$36&gt;3,MOD('Town inputs'!$G$36,1)&lt;&gt;0,'Town inputs'!$D$36&lt;2027,MOD('Town inputs'!$D$36,1)&lt;&gt;0,'Town inputs'!$J$36&lt;0,'Town inputs'!$D$55&lt;0,'Town inputs'!$E$55&lt;0),1,0)+IF(OR('Town inputs'!$E$37&lt;0,'Town inputs'!$E$37&gt;1,'Town inputs'!$F$37&lt;0,'Town inputs'!$F$37&gt;1,'Town inputs'!$H$37&lt;0,'Town inputs'!$I$37&lt;0,'Town inputs'!$I$56&lt;0,'Town inputs'!$G$37&lt;1,'Town inputs'!$G$37&gt;3,MOD('Town inputs'!$G$37,1)&lt;&gt;0,'Town inputs'!$D$37&lt;2027,MOD('Town inputs'!$D$37,1)&lt;&gt;0,'Town inputs'!$J$37&lt;0,'Town inputs'!$D$56&lt;0,'Town inputs'!$E$56&lt;0),1,0)+IF(OR('Town inputs'!$E$38&lt;0,'Town inputs'!$E$38&gt;1,'Town inputs'!$F$38&lt;0,'Town inputs'!$F$38&gt;1,'Town inputs'!$H$38&lt;0,'Town inputs'!$I$38&lt;0,'Town inputs'!$I$57&lt;0,'Town inputs'!$G$38&lt;1,'Town inputs'!$G$38&gt;3,MOD('Town inputs'!$G$38,1)&lt;&gt;0,'Town inputs'!$D$38&lt;2027,MOD('Town inputs'!$D$38,1)&lt;&gt;0,'Town inputs'!$J$38&lt;0,'Town inputs'!$D$57&lt;0,'Town inputs'!$E$57&lt;0),1,0)+IF(OR('Town inputs'!$E$39&lt;0,'Town inputs'!$E$39&gt;1,'Town inputs'!$F$39&lt;0,'Town inputs'!$F$39&gt;1,'Town inputs'!$H$39&lt;0,'Town inputs'!$I$39&lt;0,'Town inputs'!$I$58&lt;0,'Town inputs'!$G$39&lt;1,'Town inputs'!$G$39&gt;3,MOD('Town inputs'!$G$39,1)&lt;&gt;0,'Town inputs'!$D$39&lt;2027,MOD('Town inputs'!$D$39,1)&lt;&gt;0,'Town inputs'!$J$39&lt;0,'Town inputs'!$D$58&lt;0,'Town inputs'!$E$58&lt;0),1,0)</x:f>
        <x:v>0</x:v>
      </x:c>
      <x:c r="K33" s="1"/>
      <x:c r="L33" s="1"/>
      <x:c r="M33" s="1"/>
    </x:row>
    <x:row r="34" ht="22" customHeight="1">
      <x:c r="A34" s="1"/>
      <x:c r="B34" s="1"/>
      <x:c r="C34" s="1" t="str">
        <x:v>Joint mix sum check</x:v>
      </x:c>
      <x:c r="D34" s="11" t="n">
        <x:f>SUM(D40:D48)-1</x:f>
        <x:v>0</x:v>
      </x:c>
      <x:c r="E34" s="11" t="n">
        <x:f>SUM(E40:E48)-1</x:f>
        <x:v>0</x:v>
      </x:c>
      <x:c r="F34" s="11" t="n">
        <x:f>SUM(F40:F48)-1</x:f>
        <x:v>-2.220446049250313e-16</x:v>
      </x:c>
      <x:c r="G34" s="11" t="n">
        <x:f>SUM(G40:G48)-1</x:f>
        <x:v>0</x:v>
      </x:c>
      <x:c r="H34" s="11" t="n">
        <x:f>SUM(H40:H48)-1</x:f>
        <x:v>0</x:v>
      </x:c>
      <x:c r="I34" s="11" t="n">
        <x:f>SUM(I40:I48)-1</x:f>
        <x:v>-1.1102230246251565e-16</x:v>
      </x:c>
      <x:c r="J34" s="11" t="n">
        <x:f>SUM(J40:J48)-1</x:f>
        <x:v>-1.1102230246251565e-16</x:v>
      </x:c>
      <x:c r="K34" s="1"/>
      <x:c r="L34" s="1"/>
      <x:c r="M34" s="1"/>
    </x:row>
    <x:row r="35" ht="22" customHeight="1">
      <x:c r="A35" s="1"/>
      <x:c r="B35" s="1"/>
      <x:c r="C35" s="1" t="str">
        <x:v>Gross property-tier finder fees</x:v>
      </x:c>
      <x:c r="D35" s="50" t="n">
        <x:f>D71*('Town inputs'!$I$45*'Assumptions'!$D$69+'Town inputs'!$H$26*'Assumptions'!$D$133+'Town inputs'!$I$26*'Assumptions'!$D$134)+D93*('Town inputs'!$I$46*'Assumptions'!$D$69+'Town inputs'!$H$27*'Assumptions'!$D$133+'Town inputs'!$I$27*'Assumptions'!$D$134)+D115*('Town inputs'!$I$47*'Assumptions'!$D$69+'Town inputs'!$H$28*'Assumptions'!$D$133+'Town inputs'!$I$28*'Assumptions'!$D$134)+D137*('Town inputs'!$I$48*'Assumptions'!$D$69+'Town inputs'!$H$29*'Assumptions'!$D$133+'Town inputs'!$I$29*'Assumptions'!$D$134)+D159*('Town inputs'!$I$49*'Assumptions'!$D$69+'Town inputs'!$H$30*'Assumptions'!$D$133+'Town inputs'!$I$30*'Assumptions'!$D$134)+D181*('Town inputs'!$I$50*'Assumptions'!$D$69+'Town inputs'!$H$31*'Assumptions'!$D$133+'Town inputs'!$I$31*'Assumptions'!$D$134)+D203*('Town inputs'!$I$51*'Assumptions'!$D$69+'Town inputs'!$H$32*'Assumptions'!$D$133+'Town inputs'!$I$32*'Assumptions'!$D$134)+D225*('Town inputs'!$I$52*'Assumptions'!$D$69+'Town inputs'!$H$33*'Assumptions'!$D$133+'Town inputs'!$I$33*'Assumptions'!$D$134)+D247*('Town inputs'!$I$53*'Assumptions'!$D$69+'Town inputs'!$H$34*'Assumptions'!$D$133+'Town inputs'!$I$34*'Assumptions'!$D$134)+D269*('Town inputs'!$I$54*'Assumptions'!$D$69+'Town inputs'!$H$35*'Assumptions'!$D$133+'Town inputs'!$I$35*'Assumptions'!$D$134)+D291*('Town inputs'!$I$55*'Assumptions'!$D$69+'Town inputs'!$H$36*'Assumptions'!$D$133+'Town inputs'!$I$36*'Assumptions'!$D$134)+D313*('Town inputs'!$I$56*'Assumptions'!$D$69+'Town inputs'!$H$37*'Assumptions'!$D$133+'Town inputs'!$I$37*'Assumptions'!$D$134)+D335*('Town inputs'!$I$57*'Assumptions'!$D$69+'Town inputs'!$H$38*'Assumptions'!$D$133+'Town inputs'!$I$38*'Assumptions'!$D$134)+D357*('Town inputs'!$I$58*'Assumptions'!$D$69+'Town inputs'!$H$39*'Assumptions'!$D$133+'Town inputs'!$I$39*'Assumptions'!$D$134)</x:f>
        <x:v>21000</x:v>
      </x:c>
      <x:c r="E35" s="50" t="n">
        <x:f>E71*('Town inputs'!$I$45*'Assumptions'!$D$69+'Town inputs'!$H$26*'Assumptions'!$D$133+'Town inputs'!$I$26*'Assumptions'!$D$134)+E93*('Town inputs'!$I$46*'Assumptions'!$D$69+'Town inputs'!$H$27*'Assumptions'!$D$133+'Town inputs'!$I$27*'Assumptions'!$D$134)+E115*('Town inputs'!$I$47*'Assumptions'!$D$69+'Town inputs'!$H$28*'Assumptions'!$D$133+'Town inputs'!$I$28*'Assumptions'!$D$134)+E137*('Town inputs'!$I$48*'Assumptions'!$D$69+'Town inputs'!$H$29*'Assumptions'!$D$133+'Town inputs'!$I$29*'Assumptions'!$D$134)+E159*('Town inputs'!$I$49*'Assumptions'!$D$69+'Town inputs'!$H$30*'Assumptions'!$D$133+'Town inputs'!$I$30*'Assumptions'!$D$134)+E181*('Town inputs'!$I$50*'Assumptions'!$D$69+'Town inputs'!$H$31*'Assumptions'!$D$133+'Town inputs'!$I$31*'Assumptions'!$D$134)+E203*('Town inputs'!$I$51*'Assumptions'!$D$69+'Town inputs'!$H$32*'Assumptions'!$D$133+'Town inputs'!$I$32*'Assumptions'!$D$134)+E225*('Town inputs'!$I$52*'Assumptions'!$D$69+'Town inputs'!$H$33*'Assumptions'!$D$133+'Town inputs'!$I$33*'Assumptions'!$D$134)+E247*('Town inputs'!$I$53*'Assumptions'!$D$69+'Town inputs'!$H$34*'Assumptions'!$D$133+'Town inputs'!$I$34*'Assumptions'!$D$134)+E269*('Town inputs'!$I$54*'Assumptions'!$D$69+'Town inputs'!$H$35*'Assumptions'!$D$133+'Town inputs'!$I$35*'Assumptions'!$D$134)+E291*('Town inputs'!$I$55*'Assumptions'!$D$69+'Town inputs'!$H$36*'Assumptions'!$D$133+'Town inputs'!$I$36*'Assumptions'!$D$134)+E313*('Town inputs'!$I$56*'Assumptions'!$D$69+'Town inputs'!$H$37*'Assumptions'!$D$133+'Town inputs'!$I$37*'Assumptions'!$D$134)+E335*('Town inputs'!$I$57*'Assumptions'!$D$69+'Town inputs'!$H$38*'Assumptions'!$D$133+'Town inputs'!$I$38*'Assumptions'!$D$134)+E357*('Town inputs'!$I$58*'Assumptions'!$D$69+'Town inputs'!$H$39*'Assumptions'!$D$133+'Town inputs'!$I$39*'Assumptions'!$D$134)</x:f>
        <x:v>86278.59870000002</x:v>
      </x:c>
      <x:c r="F35" s="50" t="n">
        <x:f>F71*('Town inputs'!$I$45*'Assumptions'!$D$69+'Town inputs'!$H$26*'Assumptions'!$D$133+'Town inputs'!$I$26*'Assumptions'!$D$134)+F93*('Town inputs'!$I$46*'Assumptions'!$D$69+'Town inputs'!$H$27*'Assumptions'!$D$133+'Town inputs'!$I$27*'Assumptions'!$D$134)+F115*('Town inputs'!$I$47*'Assumptions'!$D$69+'Town inputs'!$H$28*'Assumptions'!$D$133+'Town inputs'!$I$28*'Assumptions'!$D$134)+F137*('Town inputs'!$I$48*'Assumptions'!$D$69+'Town inputs'!$H$29*'Assumptions'!$D$133+'Town inputs'!$I$29*'Assumptions'!$D$134)+F159*('Town inputs'!$I$49*'Assumptions'!$D$69+'Town inputs'!$H$30*'Assumptions'!$D$133+'Town inputs'!$I$30*'Assumptions'!$D$134)+F181*('Town inputs'!$I$50*'Assumptions'!$D$69+'Town inputs'!$H$31*'Assumptions'!$D$133+'Town inputs'!$I$31*'Assumptions'!$D$134)+F203*('Town inputs'!$I$51*'Assumptions'!$D$69+'Town inputs'!$H$32*'Assumptions'!$D$133+'Town inputs'!$I$32*'Assumptions'!$D$134)+F225*('Town inputs'!$I$52*'Assumptions'!$D$69+'Town inputs'!$H$33*'Assumptions'!$D$133+'Town inputs'!$I$33*'Assumptions'!$D$134)+F247*('Town inputs'!$I$53*'Assumptions'!$D$69+'Town inputs'!$H$34*'Assumptions'!$D$133+'Town inputs'!$I$34*'Assumptions'!$D$134)+F269*('Town inputs'!$I$54*'Assumptions'!$D$69+'Town inputs'!$H$35*'Assumptions'!$D$133+'Town inputs'!$I$35*'Assumptions'!$D$134)+F291*('Town inputs'!$I$55*'Assumptions'!$D$69+'Town inputs'!$H$36*'Assumptions'!$D$133+'Town inputs'!$I$36*'Assumptions'!$D$134)+F313*('Town inputs'!$I$56*'Assumptions'!$D$69+'Town inputs'!$H$37*'Assumptions'!$D$133+'Town inputs'!$I$37*'Assumptions'!$D$134)+F335*('Town inputs'!$I$57*'Assumptions'!$D$69+'Town inputs'!$H$38*'Assumptions'!$D$133+'Town inputs'!$I$38*'Assumptions'!$D$134)+F357*('Town inputs'!$I$58*'Assumptions'!$D$69+'Town inputs'!$H$39*'Assumptions'!$D$133+'Town inputs'!$I$39*'Assumptions'!$D$134)</x:f>
        <x:v>179872.5004065</x:v>
      </x:c>
      <x:c r="G35" s="50" t="n">
        <x:f>G71*('Town inputs'!$I$45*'Assumptions'!$D$69+'Town inputs'!$H$26*'Assumptions'!$D$133+'Town inputs'!$I$26*'Assumptions'!$D$134)+G93*('Town inputs'!$I$46*'Assumptions'!$D$69+'Town inputs'!$H$27*'Assumptions'!$D$133+'Town inputs'!$I$27*'Assumptions'!$D$134)+G115*('Town inputs'!$I$47*'Assumptions'!$D$69+'Town inputs'!$H$28*'Assumptions'!$D$133+'Town inputs'!$I$28*'Assumptions'!$D$134)+G137*('Town inputs'!$I$48*'Assumptions'!$D$69+'Town inputs'!$H$29*'Assumptions'!$D$133+'Town inputs'!$I$29*'Assumptions'!$D$134)+G159*('Town inputs'!$I$49*'Assumptions'!$D$69+'Town inputs'!$H$30*'Assumptions'!$D$133+'Town inputs'!$I$30*'Assumptions'!$D$134)+G181*('Town inputs'!$I$50*'Assumptions'!$D$69+'Town inputs'!$H$31*'Assumptions'!$D$133+'Town inputs'!$I$31*'Assumptions'!$D$134)+G203*('Town inputs'!$I$51*'Assumptions'!$D$69+'Town inputs'!$H$32*'Assumptions'!$D$133+'Town inputs'!$I$32*'Assumptions'!$D$134)+G225*('Town inputs'!$I$52*'Assumptions'!$D$69+'Town inputs'!$H$33*'Assumptions'!$D$133+'Town inputs'!$I$33*'Assumptions'!$D$134)+G247*('Town inputs'!$I$53*'Assumptions'!$D$69+'Town inputs'!$H$34*'Assumptions'!$D$133+'Town inputs'!$I$34*'Assumptions'!$D$134)+G269*('Town inputs'!$I$54*'Assumptions'!$D$69+'Town inputs'!$H$35*'Assumptions'!$D$133+'Town inputs'!$I$35*'Assumptions'!$D$134)+G291*('Town inputs'!$I$55*'Assumptions'!$D$69+'Town inputs'!$H$36*'Assumptions'!$D$133+'Town inputs'!$I$36*'Assumptions'!$D$134)+G313*('Town inputs'!$I$56*'Assumptions'!$D$69+'Town inputs'!$H$37*'Assumptions'!$D$133+'Town inputs'!$I$37*'Assumptions'!$D$134)+G335*('Town inputs'!$I$57*'Assumptions'!$D$69+'Town inputs'!$H$38*'Assumptions'!$D$133+'Town inputs'!$I$38*'Assumptions'!$D$134)+G357*('Town inputs'!$I$58*'Assumptions'!$D$69+'Town inputs'!$H$39*'Assumptions'!$D$133+'Town inputs'!$I$39*'Assumptions'!$D$134)</x:f>
        <x:v>293958.20008152</x:v>
      </x:c>
      <x:c r="H35" s="50" t="n">
        <x:f>H71*('Town inputs'!$I$45*'Assumptions'!$D$69+'Town inputs'!$H$26*'Assumptions'!$D$133+'Town inputs'!$I$26*'Assumptions'!$D$134)+H93*('Town inputs'!$I$46*'Assumptions'!$D$69+'Town inputs'!$H$27*'Assumptions'!$D$133+'Town inputs'!$I$27*'Assumptions'!$D$134)+H115*('Town inputs'!$I$47*'Assumptions'!$D$69+'Town inputs'!$H$28*'Assumptions'!$D$133+'Town inputs'!$I$28*'Assumptions'!$D$134)+H137*('Town inputs'!$I$48*'Assumptions'!$D$69+'Town inputs'!$H$29*'Assumptions'!$D$133+'Town inputs'!$I$29*'Assumptions'!$D$134)+H159*('Town inputs'!$I$49*'Assumptions'!$D$69+'Town inputs'!$H$30*'Assumptions'!$D$133+'Town inputs'!$I$30*'Assumptions'!$D$134)+H181*('Town inputs'!$I$50*'Assumptions'!$D$69+'Town inputs'!$H$31*'Assumptions'!$D$133+'Town inputs'!$I$31*'Assumptions'!$D$134)+H203*('Town inputs'!$I$51*'Assumptions'!$D$69+'Town inputs'!$H$32*'Assumptions'!$D$133+'Town inputs'!$I$32*'Assumptions'!$D$134)+H225*('Town inputs'!$I$52*'Assumptions'!$D$69+'Town inputs'!$H$33*'Assumptions'!$D$133+'Town inputs'!$I$33*'Assumptions'!$D$134)+H247*('Town inputs'!$I$53*'Assumptions'!$D$69+'Town inputs'!$H$34*'Assumptions'!$D$133+'Town inputs'!$I$34*'Assumptions'!$D$134)+H269*('Town inputs'!$I$54*'Assumptions'!$D$69+'Town inputs'!$H$35*'Assumptions'!$D$133+'Town inputs'!$I$35*'Assumptions'!$D$134)+H291*('Town inputs'!$I$55*'Assumptions'!$D$69+'Town inputs'!$H$36*'Assumptions'!$D$133+'Town inputs'!$I$36*'Assumptions'!$D$134)+H313*('Town inputs'!$I$56*'Assumptions'!$D$69+'Town inputs'!$H$37*'Assumptions'!$D$133+'Town inputs'!$I$37*'Assumptions'!$D$134)+H335*('Town inputs'!$I$57*'Assumptions'!$D$69+'Town inputs'!$H$38*'Assumptions'!$D$133+'Town inputs'!$I$38*'Assumptions'!$D$134)+H357*('Town inputs'!$I$58*'Assumptions'!$D$69+'Town inputs'!$H$39*'Assumptions'!$D$133+'Town inputs'!$I$39*'Assumptions'!$D$134)</x:f>
        <x:v>401034.5264756272</x:v>
      </x:c>
      <x:c r="I35" s="50" t="n">
        <x:f>I71*('Town inputs'!$I$45*'Assumptions'!$D$69+'Town inputs'!$H$26*'Assumptions'!$D$133+'Town inputs'!$I$26*'Assumptions'!$D$134)+I93*('Town inputs'!$I$46*'Assumptions'!$D$69+'Town inputs'!$H$27*'Assumptions'!$D$133+'Town inputs'!$I$27*'Assumptions'!$D$134)+I115*('Town inputs'!$I$47*'Assumptions'!$D$69+'Town inputs'!$H$28*'Assumptions'!$D$133+'Town inputs'!$I$28*'Assumptions'!$D$134)+I137*('Town inputs'!$I$48*'Assumptions'!$D$69+'Town inputs'!$H$29*'Assumptions'!$D$133+'Town inputs'!$I$29*'Assumptions'!$D$134)+I159*('Town inputs'!$I$49*'Assumptions'!$D$69+'Town inputs'!$H$30*'Assumptions'!$D$133+'Town inputs'!$I$30*'Assumptions'!$D$134)+I181*('Town inputs'!$I$50*'Assumptions'!$D$69+'Town inputs'!$H$31*'Assumptions'!$D$133+'Town inputs'!$I$31*'Assumptions'!$D$134)+I203*('Town inputs'!$I$51*'Assumptions'!$D$69+'Town inputs'!$H$32*'Assumptions'!$D$133+'Town inputs'!$I$32*'Assumptions'!$D$134)+I225*('Town inputs'!$I$52*'Assumptions'!$D$69+'Town inputs'!$H$33*'Assumptions'!$D$133+'Town inputs'!$I$33*'Assumptions'!$D$134)+I247*('Town inputs'!$I$53*'Assumptions'!$D$69+'Town inputs'!$H$34*'Assumptions'!$D$133+'Town inputs'!$I$34*'Assumptions'!$D$134)+I269*('Town inputs'!$I$54*'Assumptions'!$D$69+'Town inputs'!$H$35*'Assumptions'!$D$133+'Town inputs'!$I$35*'Assumptions'!$D$134)+I291*('Town inputs'!$I$55*'Assumptions'!$D$69+'Town inputs'!$H$36*'Assumptions'!$D$133+'Town inputs'!$I$36*'Assumptions'!$D$134)+I313*('Town inputs'!$I$56*'Assumptions'!$D$69+'Town inputs'!$H$37*'Assumptions'!$D$133+'Town inputs'!$I$37*'Assumptions'!$D$134)+I335*('Town inputs'!$I$57*'Assumptions'!$D$69+'Town inputs'!$H$38*'Assumptions'!$D$133+'Town inputs'!$I$38*'Assumptions'!$D$134)+I357*('Town inputs'!$I$58*'Assumptions'!$D$69+'Town inputs'!$H$39*'Assumptions'!$D$133+'Town inputs'!$I$39*'Assumptions'!$D$134)</x:f>
        <x:v>517873.0304885565</x:v>
      </x:c>
      <x:c r="J35" s="50" t="n">
        <x:f>J71*('Town inputs'!$I$45*'Assumptions'!$D$69+'Town inputs'!$H$26*'Assumptions'!$D$133+'Town inputs'!$I$26*'Assumptions'!$D$134)+J93*('Town inputs'!$I$46*'Assumptions'!$D$69+'Town inputs'!$H$27*'Assumptions'!$D$133+'Town inputs'!$I$27*'Assumptions'!$D$134)+J115*('Town inputs'!$I$47*'Assumptions'!$D$69+'Town inputs'!$H$28*'Assumptions'!$D$133+'Town inputs'!$I$28*'Assumptions'!$D$134)+J137*('Town inputs'!$I$48*'Assumptions'!$D$69+'Town inputs'!$H$29*'Assumptions'!$D$133+'Town inputs'!$I$29*'Assumptions'!$D$134)+J159*('Town inputs'!$I$49*'Assumptions'!$D$69+'Town inputs'!$H$30*'Assumptions'!$D$133+'Town inputs'!$I$30*'Assumptions'!$D$134)+J181*('Town inputs'!$I$50*'Assumptions'!$D$69+'Town inputs'!$H$31*'Assumptions'!$D$133+'Town inputs'!$I$31*'Assumptions'!$D$134)+J203*('Town inputs'!$I$51*'Assumptions'!$D$69+'Town inputs'!$H$32*'Assumptions'!$D$133+'Town inputs'!$I$32*'Assumptions'!$D$134)+J225*('Town inputs'!$I$52*'Assumptions'!$D$69+'Town inputs'!$H$33*'Assumptions'!$D$133+'Town inputs'!$I$33*'Assumptions'!$D$134)+J247*('Town inputs'!$I$53*'Assumptions'!$D$69+'Town inputs'!$H$34*'Assumptions'!$D$133+'Town inputs'!$I$34*'Assumptions'!$D$134)+J269*('Town inputs'!$I$54*'Assumptions'!$D$69+'Town inputs'!$H$35*'Assumptions'!$D$133+'Town inputs'!$I$35*'Assumptions'!$D$134)+J291*('Town inputs'!$I$55*'Assumptions'!$D$69+'Town inputs'!$H$36*'Assumptions'!$D$133+'Town inputs'!$I$36*'Assumptions'!$D$134)+J313*('Town inputs'!$I$56*'Assumptions'!$D$69+'Town inputs'!$H$37*'Assumptions'!$D$133+'Town inputs'!$I$37*'Assumptions'!$D$134)+J335*('Town inputs'!$I$57*'Assumptions'!$D$69+'Town inputs'!$H$38*'Assumptions'!$D$133+'Town inputs'!$I$38*'Assumptions'!$D$134)+J357*('Town inputs'!$I$58*'Assumptions'!$D$69+'Town inputs'!$H$39*'Assumptions'!$D$133+'Town inputs'!$I$39*'Assumptions'!$D$134)</x:f>
        <x:v>585890.5660212474</x:v>
      </x:c>
      <x:c r="K35" s="1"/>
      <x:c r="L35" s="1"/>
      <x:c r="M35" s="1"/>
    </x:row>
    <x:row r="36" ht="22" customHeight="1">
      <x:c r="A36" s="1"/>
      <x:c r="B36" s="1"/>
      <x:c r="C36" s="1" t="str">
        <x:v>Welcome finder-fee discounts</x:v>
      </x:c>
      <x:c r="D36" s="50" t="n">
        <x:f>MIN(D71,D77*'Assumptions'!$D$88)*('Town inputs'!$I$45*'Assumptions'!$D$69+'Town inputs'!$H$26*'Assumptions'!$D$133+'Town inputs'!$I$26*'Assumptions'!$D$134)+MIN(D93,D99*'Assumptions'!$D$88)*('Town inputs'!$I$46*'Assumptions'!$D$69+'Town inputs'!$H$27*'Assumptions'!$D$133+'Town inputs'!$I$27*'Assumptions'!$D$134)+MIN(D115,D121*'Assumptions'!$D$88)*('Town inputs'!$I$47*'Assumptions'!$D$69+'Town inputs'!$H$28*'Assumptions'!$D$133+'Town inputs'!$I$28*'Assumptions'!$D$134)+MIN(D137,D143*'Assumptions'!$D$88)*('Town inputs'!$I$48*'Assumptions'!$D$69+'Town inputs'!$H$29*'Assumptions'!$D$133+'Town inputs'!$I$29*'Assumptions'!$D$134)+MIN(D159,D165*'Assumptions'!$D$88)*('Town inputs'!$I$49*'Assumptions'!$D$69+'Town inputs'!$H$30*'Assumptions'!$D$133+'Town inputs'!$I$30*'Assumptions'!$D$134)+MIN(D181,D187*'Assumptions'!$D$88)*('Town inputs'!$I$50*'Assumptions'!$D$69+'Town inputs'!$H$31*'Assumptions'!$D$133+'Town inputs'!$I$31*'Assumptions'!$D$134)+MIN(D203,D209*'Assumptions'!$D$88)*('Town inputs'!$I$51*'Assumptions'!$D$69+'Town inputs'!$H$32*'Assumptions'!$D$133+'Town inputs'!$I$32*'Assumptions'!$D$134)+MIN(D225,D231*'Assumptions'!$D$88)*('Town inputs'!$I$52*'Assumptions'!$D$69+'Town inputs'!$H$33*'Assumptions'!$D$133+'Town inputs'!$I$33*'Assumptions'!$D$134)+MIN(D247,D253*'Assumptions'!$D$88)*('Town inputs'!$I$53*'Assumptions'!$D$69+'Town inputs'!$H$34*'Assumptions'!$D$133+'Town inputs'!$I$34*'Assumptions'!$D$134)+MIN(D269,D275*'Assumptions'!$D$88)*('Town inputs'!$I$54*'Assumptions'!$D$69+'Town inputs'!$H$35*'Assumptions'!$D$133+'Town inputs'!$I$35*'Assumptions'!$D$134)+MIN(D291,D297*'Assumptions'!$D$88)*('Town inputs'!$I$55*'Assumptions'!$D$69+'Town inputs'!$H$36*'Assumptions'!$D$133+'Town inputs'!$I$36*'Assumptions'!$D$134)+MIN(D313,D319*'Assumptions'!$D$88)*('Town inputs'!$I$56*'Assumptions'!$D$69+'Town inputs'!$H$37*'Assumptions'!$D$133+'Town inputs'!$I$37*'Assumptions'!$D$134)+MIN(D335,D341*'Assumptions'!$D$88)*('Town inputs'!$I$57*'Assumptions'!$D$69+'Town inputs'!$H$38*'Assumptions'!$D$133+'Town inputs'!$I$38*'Assumptions'!$D$134)+MIN(D357,D363*'Assumptions'!$D$88)*('Town inputs'!$I$58*'Assumptions'!$D$69+'Town inputs'!$H$39*'Assumptions'!$D$133+'Town inputs'!$I$39*'Assumptions'!$D$134)</x:f>
        <x:v>525</x:v>
      </x:c>
      <x:c r="E36" s="50" t="n">
        <x:f>MIN(E71,E77*'Assumptions'!$D$88)*('Town inputs'!$I$45*'Assumptions'!$D$69+'Town inputs'!$H$26*'Assumptions'!$D$133+'Town inputs'!$I$26*'Assumptions'!$D$134)+MIN(E93,E99*'Assumptions'!$D$88)*('Town inputs'!$I$46*'Assumptions'!$D$69+'Town inputs'!$H$27*'Assumptions'!$D$133+'Town inputs'!$I$27*'Assumptions'!$D$134)+MIN(E115,E121*'Assumptions'!$D$88)*('Town inputs'!$I$47*'Assumptions'!$D$69+'Town inputs'!$H$28*'Assumptions'!$D$133+'Town inputs'!$I$28*'Assumptions'!$D$134)+MIN(E137,E143*'Assumptions'!$D$88)*('Town inputs'!$I$48*'Assumptions'!$D$69+'Town inputs'!$H$29*'Assumptions'!$D$133+'Town inputs'!$I$29*'Assumptions'!$D$134)+MIN(E159,E165*'Assumptions'!$D$88)*('Town inputs'!$I$49*'Assumptions'!$D$69+'Town inputs'!$H$30*'Assumptions'!$D$133+'Town inputs'!$I$30*'Assumptions'!$D$134)+MIN(E181,E187*'Assumptions'!$D$88)*('Town inputs'!$I$50*'Assumptions'!$D$69+'Town inputs'!$H$31*'Assumptions'!$D$133+'Town inputs'!$I$31*'Assumptions'!$D$134)+MIN(E203,E209*'Assumptions'!$D$88)*('Town inputs'!$I$51*'Assumptions'!$D$69+'Town inputs'!$H$32*'Assumptions'!$D$133+'Town inputs'!$I$32*'Assumptions'!$D$134)+MIN(E225,E231*'Assumptions'!$D$88)*('Town inputs'!$I$52*'Assumptions'!$D$69+'Town inputs'!$H$33*'Assumptions'!$D$133+'Town inputs'!$I$33*'Assumptions'!$D$134)+MIN(E247,E253*'Assumptions'!$D$88)*('Town inputs'!$I$53*'Assumptions'!$D$69+'Town inputs'!$H$34*'Assumptions'!$D$133+'Town inputs'!$I$34*'Assumptions'!$D$134)+MIN(E269,E275*'Assumptions'!$D$88)*('Town inputs'!$I$54*'Assumptions'!$D$69+'Town inputs'!$H$35*'Assumptions'!$D$133+'Town inputs'!$I$35*'Assumptions'!$D$134)+MIN(E291,E297*'Assumptions'!$D$88)*('Town inputs'!$I$55*'Assumptions'!$D$69+'Town inputs'!$H$36*'Assumptions'!$D$133+'Town inputs'!$I$36*'Assumptions'!$D$134)+MIN(E313,E319*'Assumptions'!$D$88)*('Town inputs'!$I$56*'Assumptions'!$D$69+'Town inputs'!$H$37*'Assumptions'!$D$133+'Town inputs'!$I$37*'Assumptions'!$D$134)+MIN(E335,E341*'Assumptions'!$D$88)*('Town inputs'!$I$57*'Assumptions'!$D$69+'Town inputs'!$H$38*'Assumptions'!$D$133+'Town inputs'!$I$38*'Assumptions'!$D$134)+MIN(E357,E363*'Assumptions'!$D$88)*('Town inputs'!$I$58*'Assumptions'!$D$69+'Town inputs'!$H$39*'Assumptions'!$D$133+'Town inputs'!$I$39*'Assumptions'!$D$134)</x:f>
        <x:v>2205</x:v>
      </x:c>
      <x:c r="F36" s="50" t="n">
        <x:f>MIN(F71,F77*'Assumptions'!$D$88)*('Town inputs'!$I$45*'Assumptions'!$D$69+'Town inputs'!$H$26*'Assumptions'!$D$133+'Town inputs'!$I$26*'Assumptions'!$D$134)+MIN(F93,F99*'Assumptions'!$D$88)*('Town inputs'!$I$46*'Assumptions'!$D$69+'Town inputs'!$H$27*'Assumptions'!$D$133+'Town inputs'!$I$27*'Assumptions'!$D$134)+MIN(F115,F121*'Assumptions'!$D$88)*('Town inputs'!$I$47*'Assumptions'!$D$69+'Town inputs'!$H$28*'Assumptions'!$D$133+'Town inputs'!$I$28*'Assumptions'!$D$134)+MIN(F137,F143*'Assumptions'!$D$88)*('Town inputs'!$I$48*'Assumptions'!$D$69+'Town inputs'!$H$29*'Assumptions'!$D$133+'Town inputs'!$I$29*'Assumptions'!$D$134)+MIN(F159,F165*'Assumptions'!$D$88)*('Town inputs'!$I$49*'Assumptions'!$D$69+'Town inputs'!$H$30*'Assumptions'!$D$133+'Town inputs'!$I$30*'Assumptions'!$D$134)+MIN(F181,F187*'Assumptions'!$D$88)*('Town inputs'!$I$50*'Assumptions'!$D$69+'Town inputs'!$H$31*'Assumptions'!$D$133+'Town inputs'!$I$31*'Assumptions'!$D$134)+MIN(F203,F209*'Assumptions'!$D$88)*('Town inputs'!$I$51*'Assumptions'!$D$69+'Town inputs'!$H$32*'Assumptions'!$D$133+'Town inputs'!$I$32*'Assumptions'!$D$134)+MIN(F225,F231*'Assumptions'!$D$88)*('Town inputs'!$I$52*'Assumptions'!$D$69+'Town inputs'!$H$33*'Assumptions'!$D$133+'Town inputs'!$I$33*'Assumptions'!$D$134)+MIN(F247,F253*'Assumptions'!$D$88)*('Town inputs'!$I$53*'Assumptions'!$D$69+'Town inputs'!$H$34*'Assumptions'!$D$133+'Town inputs'!$I$34*'Assumptions'!$D$134)+MIN(F269,F275*'Assumptions'!$D$88)*('Town inputs'!$I$54*'Assumptions'!$D$69+'Town inputs'!$H$35*'Assumptions'!$D$133+'Town inputs'!$I$35*'Assumptions'!$D$134)+MIN(F291,F297*'Assumptions'!$D$88)*('Town inputs'!$I$55*'Assumptions'!$D$69+'Town inputs'!$H$36*'Assumptions'!$D$133+'Town inputs'!$I$36*'Assumptions'!$D$134)+MIN(F313,F319*'Assumptions'!$D$88)*('Town inputs'!$I$56*'Assumptions'!$D$69+'Town inputs'!$H$37*'Assumptions'!$D$133+'Town inputs'!$I$37*'Assumptions'!$D$134)+MIN(F335,F341*'Assumptions'!$D$88)*('Town inputs'!$I$57*'Assumptions'!$D$69+'Town inputs'!$H$38*'Assumptions'!$D$133+'Town inputs'!$I$38*'Assumptions'!$D$134)+MIN(F357,F363*'Assumptions'!$D$88)*('Town inputs'!$I$58*'Assumptions'!$D$69+'Town inputs'!$H$39*'Assumptions'!$D$133+'Town inputs'!$I$39*'Assumptions'!$D$134)</x:f>
        <x:v>4227.9375</x:v>
      </x:c>
      <x:c r="G36" s="50" t="n">
        <x:f>MIN(G71,G77*'Assumptions'!$D$88)*('Town inputs'!$I$45*'Assumptions'!$D$69+'Town inputs'!$H$26*'Assumptions'!$D$133+'Town inputs'!$I$26*'Assumptions'!$D$134)+MIN(G93,G99*'Assumptions'!$D$88)*('Town inputs'!$I$46*'Assumptions'!$D$69+'Town inputs'!$H$27*'Assumptions'!$D$133+'Town inputs'!$I$27*'Assumptions'!$D$134)+MIN(G115,G121*'Assumptions'!$D$88)*('Town inputs'!$I$47*'Assumptions'!$D$69+'Town inputs'!$H$28*'Assumptions'!$D$133+'Town inputs'!$I$28*'Assumptions'!$D$134)+MIN(G137,G143*'Assumptions'!$D$88)*('Town inputs'!$I$48*'Assumptions'!$D$69+'Town inputs'!$H$29*'Assumptions'!$D$133+'Town inputs'!$I$29*'Assumptions'!$D$134)+MIN(G159,G165*'Assumptions'!$D$88)*('Town inputs'!$I$49*'Assumptions'!$D$69+'Town inputs'!$H$30*'Assumptions'!$D$133+'Town inputs'!$I$30*'Assumptions'!$D$134)+MIN(G181,G187*'Assumptions'!$D$88)*('Town inputs'!$I$50*'Assumptions'!$D$69+'Town inputs'!$H$31*'Assumptions'!$D$133+'Town inputs'!$I$31*'Assumptions'!$D$134)+MIN(G203,G209*'Assumptions'!$D$88)*('Town inputs'!$I$51*'Assumptions'!$D$69+'Town inputs'!$H$32*'Assumptions'!$D$133+'Town inputs'!$I$32*'Assumptions'!$D$134)+MIN(G225,G231*'Assumptions'!$D$88)*('Town inputs'!$I$52*'Assumptions'!$D$69+'Town inputs'!$H$33*'Assumptions'!$D$133+'Town inputs'!$I$33*'Assumptions'!$D$134)+MIN(G247,G253*'Assumptions'!$D$88)*('Town inputs'!$I$53*'Assumptions'!$D$69+'Town inputs'!$H$34*'Assumptions'!$D$133+'Town inputs'!$I$34*'Assumptions'!$D$134)+MIN(G269,G275*'Assumptions'!$D$88)*('Town inputs'!$I$54*'Assumptions'!$D$69+'Town inputs'!$H$35*'Assumptions'!$D$133+'Town inputs'!$I$35*'Assumptions'!$D$134)+MIN(G291,G297*'Assumptions'!$D$88)*('Town inputs'!$I$55*'Assumptions'!$D$69+'Town inputs'!$H$36*'Assumptions'!$D$133+'Town inputs'!$I$36*'Assumptions'!$D$134)+MIN(G313,G319*'Assumptions'!$D$88)*('Town inputs'!$I$56*'Assumptions'!$D$69+'Town inputs'!$H$37*'Assumptions'!$D$133+'Town inputs'!$I$37*'Assumptions'!$D$134)+MIN(G335,G341*'Assumptions'!$D$88)*('Town inputs'!$I$57*'Assumptions'!$D$69+'Town inputs'!$H$38*'Assumptions'!$D$133+'Town inputs'!$I$38*'Assumptions'!$D$134)+MIN(G357,G363*'Assumptions'!$D$88)*('Town inputs'!$I$58*'Assumptions'!$D$69+'Town inputs'!$H$39*'Assumptions'!$D$133+'Town inputs'!$I$39*'Assumptions'!$D$134)</x:f>
        <x:v>7014.725</x:v>
      </x:c>
      <x:c r="H36" s="50" t="n">
        <x:f>MIN(H71,H77*'Assumptions'!$D$88)*('Town inputs'!$I$45*'Assumptions'!$D$69+'Town inputs'!$H$26*'Assumptions'!$D$133+'Town inputs'!$I$26*'Assumptions'!$D$134)+MIN(H93,H99*'Assumptions'!$D$88)*('Town inputs'!$I$46*'Assumptions'!$D$69+'Town inputs'!$H$27*'Assumptions'!$D$133+'Town inputs'!$I$27*'Assumptions'!$D$134)+MIN(H115,H121*'Assumptions'!$D$88)*('Town inputs'!$I$47*'Assumptions'!$D$69+'Town inputs'!$H$28*'Assumptions'!$D$133+'Town inputs'!$I$28*'Assumptions'!$D$134)+MIN(H137,H143*'Assumptions'!$D$88)*('Town inputs'!$I$48*'Assumptions'!$D$69+'Town inputs'!$H$29*'Assumptions'!$D$133+'Town inputs'!$I$29*'Assumptions'!$D$134)+MIN(H159,H165*'Assumptions'!$D$88)*('Town inputs'!$I$49*'Assumptions'!$D$69+'Town inputs'!$H$30*'Assumptions'!$D$133+'Town inputs'!$I$30*'Assumptions'!$D$134)+MIN(H181,H187*'Assumptions'!$D$88)*('Town inputs'!$I$50*'Assumptions'!$D$69+'Town inputs'!$H$31*'Assumptions'!$D$133+'Town inputs'!$I$31*'Assumptions'!$D$134)+MIN(H203,H209*'Assumptions'!$D$88)*('Town inputs'!$I$51*'Assumptions'!$D$69+'Town inputs'!$H$32*'Assumptions'!$D$133+'Town inputs'!$I$32*'Assumptions'!$D$134)+MIN(H225,H231*'Assumptions'!$D$88)*('Town inputs'!$I$52*'Assumptions'!$D$69+'Town inputs'!$H$33*'Assumptions'!$D$133+'Town inputs'!$I$33*'Assumptions'!$D$134)+MIN(H247,H253*'Assumptions'!$D$88)*('Town inputs'!$I$53*'Assumptions'!$D$69+'Town inputs'!$H$34*'Assumptions'!$D$133+'Town inputs'!$I$34*'Assumptions'!$D$134)+MIN(H269,H275*'Assumptions'!$D$88)*('Town inputs'!$I$54*'Assumptions'!$D$69+'Town inputs'!$H$35*'Assumptions'!$D$133+'Town inputs'!$I$35*'Assumptions'!$D$134)+MIN(H291,H297*'Assumptions'!$D$88)*('Town inputs'!$I$55*'Assumptions'!$D$69+'Town inputs'!$H$36*'Assumptions'!$D$133+'Town inputs'!$I$36*'Assumptions'!$D$134)+MIN(H313,H319*'Assumptions'!$D$88)*('Town inputs'!$I$56*'Assumptions'!$D$69+'Town inputs'!$H$37*'Assumptions'!$D$133+'Town inputs'!$I$37*'Assumptions'!$D$134)+MIN(H335,H341*'Assumptions'!$D$88)*('Town inputs'!$I$57*'Assumptions'!$D$69+'Town inputs'!$H$38*'Assumptions'!$D$133+'Town inputs'!$I$38*'Assumptions'!$D$134)+MIN(H357,H363*'Assumptions'!$D$88)*('Town inputs'!$I$58*'Assumptions'!$D$69+'Town inputs'!$H$39*'Assumptions'!$D$133+'Town inputs'!$I$39*'Assumptions'!$D$134)</x:f>
        <x:v>9401.599999999999</x:v>
      </x:c>
      <x:c r="I36" s="50" t="n">
        <x:f>MIN(I71,I77*'Assumptions'!$D$88)*('Town inputs'!$I$45*'Assumptions'!$D$69+'Town inputs'!$H$26*'Assumptions'!$D$133+'Town inputs'!$I$26*'Assumptions'!$D$134)+MIN(I93,I99*'Assumptions'!$D$88)*('Town inputs'!$I$46*'Assumptions'!$D$69+'Town inputs'!$H$27*'Assumptions'!$D$133+'Town inputs'!$I$27*'Assumptions'!$D$134)+MIN(I115,I121*'Assumptions'!$D$88)*('Town inputs'!$I$47*'Assumptions'!$D$69+'Town inputs'!$H$28*'Assumptions'!$D$133+'Town inputs'!$I$28*'Assumptions'!$D$134)+MIN(I137,I143*'Assumptions'!$D$88)*('Town inputs'!$I$48*'Assumptions'!$D$69+'Town inputs'!$H$29*'Assumptions'!$D$133+'Town inputs'!$I$29*'Assumptions'!$D$134)+MIN(I159,I165*'Assumptions'!$D$88)*('Town inputs'!$I$49*'Assumptions'!$D$69+'Town inputs'!$H$30*'Assumptions'!$D$133+'Town inputs'!$I$30*'Assumptions'!$D$134)+MIN(I181,I187*'Assumptions'!$D$88)*('Town inputs'!$I$50*'Assumptions'!$D$69+'Town inputs'!$H$31*'Assumptions'!$D$133+'Town inputs'!$I$31*'Assumptions'!$D$134)+MIN(I203,I209*'Assumptions'!$D$88)*('Town inputs'!$I$51*'Assumptions'!$D$69+'Town inputs'!$H$32*'Assumptions'!$D$133+'Town inputs'!$I$32*'Assumptions'!$D$134)+MIN(I225,I231*'Assumptions'!$D$88)*('Town inputs'!$I$52*'Assumptions'!$D$69+'Town inputs'!$H$33*'Assumptions'!$D$133+'Town inputs'!$I$33*'Assumptions'!$D$134)+MIN(I247,I253*'Assumptions'!$D$88)*('Town inputs'!$I$53*'Assumptions'!$D$69+'Town inputs'!$H$34*'Assumptions'!$D$133+'Town inputs'!$I$34*'Assumptions'!$D$134)+MIN(I269,I275*'Assumptions'!$D$88)*('Town inputs'!$I$54*'Assumptions'!$D$69+'Town inputs'!$H$35*'Assumptions'!$D$133+'Town inputs'!$I$35*'Assumptions'!$D$134)+MIN(I291,I297*'Assumptions'!$D$88)*('Town inputs'!$I$55*'Assumptions'!$D$69+'Town inputs'!$H$36*'Assumptions'!$D$133+'Town inputs'!$I$36*'Assumptions'!$D$134)+MIN(I313,I319*'Assumptions'!$D$88)*('Town inputs'!$I$56*'Assumptions'!$D$69+'Town inputs'!$H$37*'Assumptions'!$D$133+'Town inputs'!$I$37*'Assumptions'!$D$134)+MIN(I335,I341*'Assumptions'!$D$88)*('Town inputs'!$I$57*'Assumptions'!$D$69+'Town inputs'!$H$38*'Assumptions'!$D$133+'Town inputs'!$I$38*'Assumptions'!$D$134)+MIN(I357,I363*'Assumptions'!$D$88)*('Town inputs'!$I$58*'Assumptions'!$D$69+'Town inputs'!$H$39*'Assumptions'!$D$133+'Town inputs'!$I$39*'Assumptions'!$D$134)</x:f>
        <x:v>11978.55</x:v>
      </x:c>
      <x:c r="J36" s="50" t="n">
        <x:f>MIN(J71,J77*'Assumptions'!$D$88)*('Town inputs'!$I$45*'Assumptions'!$D$69+'Town inputs'!$H$26*'Assumptions'!$D$133+'Town inputs'!$I$26*'Assumptions'!$D$134)+MIN(J93,J99*'Assumptions'!$D$88)*('Town inputs'!$I$46*'Assumptions'!$D$69+'Town inputs'!$H$27*'Assumptions'!$D$133+'Town inputs'!$I$27*'Assumptions'!$D$134)+MIN(J115,J121*'Assumptions'!$D$88)*('Town inputs'!$I$47*'Assumptions'!$D$69+'Town inputs'!$H$28*'Assumptions'!$D$133+'Town inputs'!$I$28*'Assumptions'!$D$134)+MIN(J137,J143*'Assumptions'!$D$88)*('Town inputs'!$I$48*'Assumptions'!$D$69+'Town inputs'!$H$29*'Assumptions'!$D$133+'Town inputs'!$I$29*'Assumptions'!$D$134)+MIN(J159,J165*'Assumptions'!$D$88)*('Town inputs'!$I$49*'Assumptions'!$D$69+'Town inputs'!$H$30*'Assumptions'!$D$133+'Town inputs'!$I$30*'Assumptions'!$D$134)+MIN(J181,J187*'Assumptions'!$D$88)*('Town inputs'!$I$50*'Assumptions'!$D$69+'Town inputs'!$H$31*'Assumptions'!$D$133+'Town inputs'!$I$31*'Assumptions'!$D$134)+MIN(J203,J209*'Assumptions'!$D$88)*('Town inputs'!$I$51*'Assumptions'!$D$69+'Town inputs'!$H$32*'Assumptions'!$D$133+'Town inputs'!$I$32*'Assumptions'!$D$134)+MIN(J225,J231*'Assumptions'!$D$88)*('Town inputs'!$I$52*'Assumptions'!$D$69+'Town inputs'!$H$33*'Assumptions'!$D$133+'Town inputs'!$I$33*'Assumptions'!$D$134)+MIN(J247,J253*'Assumptions'!$D$88)*('Town inputs'!$I$53*'Assumptions'!$D$69+'Town inputs'!$H$34*'Assumptions'!$D$133+'Town inputs'!$I$34*'Assumptions'!$D$134)+MIN(J269,J275*'Assumptions'!$D$88)*('Town inputs'!$I$54*'Assumptions'!$D$69+'Town inputs'!$H$35*'Assumptions'!$D$133+'Town inputs'!$I$35*'Assumptions'!$D$134)+MIN(J291,J297*'Assumptions'!$D$88)*('Town inputs'!$I$55*'Assumptions'!$D$69+'Town inputs'!$H$36*'Assumptions'!$D$133+'Town inputs'!$I$36*'Assumptions'!$D$134)+MIN(J313,J319*'Assumptions'!$D$88)*('Town inputs'!$I$56*'Assumptions'!$D$69+'Town inputs'!$H$37*'Assumptions'!$D$133+'Town inputs'!$I$37*'Assumptions'!$D$134)+MIN(J335,J341*'Assumptions'!$D$88)*('Town inputs'!$I$57*'Assumptions'!$D$69+'Town inputs'!$H$38*'Assumptions'!$D$133+'Town inputs'!$I$38*'Assumptions'!$D$134)+MIN(J357,J363*'Assumptions'!$D$88)*('Town inputs'!$I$58*'Assumptions'!$D$69+'Town inputs'!$H$39*'Assumptions'!$D$133+'Town inputs'!$I$39*'Assumptions'!$D$134)</x:f>
        <x:v>13321.775000000003</x:v>
      </x:c>
      <x:c r="K36" s="1"/>
      <x:c r="L36" s="1"/>
      <x:c r="M36" s="1"/>
    </x:row>
    <x:row r="37" ht="22" customHeight="1">
      <x:c r="A37" s="1"/>
      <x:c r="B37" s="1"/>
      <x:c r="C37" s="1" t="str">
        <x:v>Net property-tier finder revenue</x:v>
      </x:c>
      <x:c r="D37" s="22" t="n">
        <x:f>D35-D36</x:f>
        <x:v>20475</x:v>
      </x:c>
      <x:c r="E37" s="22" t="n">
        <x:f>E35-E36</x:f>
        <x:v>84073.59870000002</x:v>
      </x:c>
      <x:c r="F37" s="22" t="n">
        <x:f>F35-F36</x:f>
        <x:v>175644.5629065</x:v>
      </x:c>
      <x:c r="G37" s="22" t="n">
        <x:f>G35-G36</x:f>
        <x:v>286943.47508152004</x:v>
      </x:c>
      <x:c r="H37" s="22" t="n">
        <x:f>H35-H36</x:f>
        <x:v>391632.92647562723</x:v>
      </x:c>
      <x:c r="I37" s="22" t="n">
        <x:f>I35-I36</x:f>
        <x:v>505894.4804885565</x:v>
      </x:c>
      <x:c r="J37" s="22" t="n">
        <x:f>J35-J36</x:f>
        <x:v>572568.7910212474</x:v>
      </x:c>
      <x:c r="K37" s="1"/>
      <x:c r="L37" s="1"/>
      <x:c r="M37" s="1"/>
    </x:row>
    <x:row r="38" ht="22" customHeight="1">
      <x:c r="A38" s="1"/>
      <x:c r="B38" s="1"/>
      <x:c r="C38" s="1" t="str">
        <x:v>Average finder fee before waivers</x:v>
      </x:c>
      <x:c r="D38" s="22" t="n">
        <x:f>IFERROR(D35/D9,0)</x:f>
        <x:v>87.5</x:v>
      </x:c>
      <x:c r="E38" s="22" t="n">
        <x:f>IFERROR(E35/E9,0)</x:f>
        <x:v>88.5779832286507</x:v>
      </x:c>
      <x:c r="F38" s="22" t="n">
        <x:f>IFERROR(F35/F9,0)</x:f>
        <x:v>87.22857195518058</x:v>
      </x:c>
      <x:c r="G38" s="22" t="n">
        <x:f>IFERROR(G35/G9,0)</x:f>
        <x:v>88.65229853760295</x:v>
      </x:c>
      <x:c r="H38" s="22" t="n">
        <x:f>IFERROR(H35/H9,0)</x:f>
        <x:v>90.01594060800028</x:v>
      </x:c>
      <x:c r="I38" s="22" t="n">
        <x:f>IFERROR(I35/I9,0)</x:f>
        <x:v>91.43076074663969</x:v>
      </x:c>
      <x:c r="J38" s="22" t="n">
        <x:f>IFERROR(J35/J9,0)</x:f>
        <x:v>92.64412536431882</x:v>
      </x:c>
      <x:c r="K38" s="1"/>
      <x:c r="L38" s="1"/>
      <x:c r="M38" s="1"/>
    </x:row>
    <x:row r="39" ht="22" customHeight="1">
      <x:c r="A39" s="1"/>
      <x:c r="B39" s="1"/>
      <x:c r="C39" s="1" t="str">
        <x:v>Welcome pair count</x:v>
      </x:c>
      <x:c r="D39" s="49" t="n">
        <x:f>MIN(D71,D77*'Assumptions'!$D$88)+MIN(D93,D99*'Assumptions'!$D$88)+MIN(D115,D121*'Assumptions'!$D$88)+MIN(D137,D143*'Assumptions'!$D$88)+MIN(D159,D165*'Assumptions'!$D$88)+MIN(D181,D187*'Assumptions'!$D$88)+MIN(D203,D209*'Assumptions'!$D$88)+MIN(D225,D231*'Assumptions'!$D$88)+MIN(D247,D253*'Assumptions'!$D$88)+MIN(D269,D275*'Assumptions'!$D$88)+MIN(D291,D297*'Assumptions'!$D$88)+MIN(D313,D319*'Assumptions'!$D$88)+MIN(D335,D341*'Assumptions'!$D$88)+MIN(D357,D363*'Assumptions'!$D$88)</x:f>
        <x:v>6</x:v>
      </x:c>
      <x:c r="E39" s="49" t="n">
        <x:f>MIN(E71,E77*'Assumptions'!$D$88)+MIN(E93,E99*'Assumptions'!$D$88)+MIN(E115,E121*'Assumptions'!$D$88)+MIN(E137,E143*'Assumptions'!$D$88)+MIN(E159,E165*'Assumptions'!$D$88)+MIN(E181,E187*'Assumptions'!$D$88)+MIN(E203,E209*'Assumptions'!$D$88)+MIN(E225,E231*'Assumptions'!$D$88)+MIN(E247,E253*'Assumptions'!$D$88)+MIN(E269,E275*'Assumptions'!$D$88)+MIN(E291,E297*'Assumptions'!$D$88)+MIN(E313,E319*'Assumptions'!$D$88)+MIN(E335,E341*'Assumptions'!$D$88)+MIN(E357,E363*'Assumptions'!$D$88)</x:f>
        <x:v>24.9</x:v>
      </x:c>
      <x:c r="F39" s="49" t="n">
        <x:f>MIN(F71,F77*'Assumptions'!$D$88)+MIN(F93,F99*'Assumptions'!$D$88)+MIN(F115,F121*'Assumptions'!$D$88)+MIN(F137,F143*'Assumptions'!$D$88)+MIN(F159,F165*'Assumptions'!$D$88)+MIN(F181,F187*'Assumptions'!$D$88)+MIN(F203,F209*'Assumptions'!$D$88)+MIN(F225,F231*'Assumptions'!$D$88)+MIN(F247,F253*'Assumptions'!$D$88)+MIN(F269,F275*'Assumptions'!$D$88)+MIN(F291,F297*'Assumptions'!$D$88)+MIN(F313,F319*'Assumptions'!$D$88)+MIN(F335,F341*'Assumptions'!$D$88)+MIN(F357,F363*'Assumptions'!$D$88)</x:f>
        <x:v>48.5</x:v>
      </x:c>
      <x:c r="G39" s="49" t="n">
        <x:f>MIN(G71,G77*'Assumptions'!$D$88)+MIN(G93,G99*'Assumptions'!$D$88)+MIN(G115,G121*'Assumptions'!$D$88)+MIN(G137,G143*'Assumptions'!$D$88)+MIN(G159,G165*'Assumptions'!$D$88)+MIN(G181,G187*'Assumptions'!$D$88)+MIN(G203,G209*'Assumptions'!$D$88)+MIN(G225,G231*'Assumptions'!$D$88)+MIN(G247,G253*'Assumptions'!$D$88)+MIN(G269,G275*'Assumptions'!$D$88)+MIN(G291,G297*'Assumptions'!$D$88)+MIN(G313,G319*'Assumptions'!$D$88)+MIN(G335,G341*'Assumptions'!$D$88)+MIN(G357,G363*'Assumptions'!$D$88)</x:f>
        <x:v>79.1</x:v>
      </x:c>
      <x:c r="H39" s="49" t="n">
        <x:f>MIN(H71,H77*'Assumptions'!$D$88)+MIN(H93,H99*'Assumptions'!$D$88)+MIN(H115,H121*'Assumptions'!$D$88)+MIN(H137,H143*'Assumptions'!$D$88)+MIN(H159,H165*'Assumptions'!$D$88)+MIN(H181,H187*'Assumptions'!$D$88)+MIN(H203,H209*'Assumptions'!$D$88)+MIN(H225,H231*'Assumptions'!$D$88)+MIN(H247,H253*'Assumptions'!$D$88)+MIN(H269,H275*'Assumptions'!$D$88)+MIN(H291,H297*'Assumptions'!$D$88)+MIN(H313,H319*'Assumptions'!$D$88)+MIN(H335,H341*'Assumptions'!$D$88)+MIN(H357,H363*'Assumptions'!$D$88)</x:f>
        <x:v>104.3</x:v>
      </x:c>
      <x:c r="I39" s="49" t="n">
        <x:f>MIN(I71,I77*'Assumptions'!$D$88)+MIN(I93,I99*'Assumptions'!$D$88)+MIN(I115,I121*'Assumptions'!$D$88)+MIN(I137,I143*'Assumptions'!$D$88)+MIN(I159,I165*'Assumptions'!$D$88)+MIN(I181,I187*'Assumptions'!$D$88)+MIN(I203,I209*'Assumptions'!$D$88)+MIN(I225,I231*'Assumptions'!$D$88)+MIN(I247,I253*'Assumptions'!$D$88)+MIN(I269,I275*'Assumptions'!$D$88)+MIN(I291,I297*'Assumptions'!$D$88)+MIN(I313,I319*'Assumptions'!$D$88)+MIN(I335,I341*'Assumptions'!$D$88)+MIN(I357,I363*'Assumptions'!$D$88)</x:f>
        <x:v>130.75</x:v>
      </x:c>
      <x:c r="J39" s="49" t="n">
        <x:f>MIN(J71,J77*'Assumptions'!$D$88)+MIN(J93,J99*'Assumptions'!$D$88)+MIN(J115,J121*'Assumptions'!$D$88)+MIN(J137,J143*'Assumptions'!$D$88)+MIN(J159,J165*'Assumptions'!$D$88)+MIN(J181,J187*'Assumptions'!$D$88)+MIN(J203,J209*'Assumptions'!$D$88)+MIN(J225,J231*'Assumptions'!$D$88)+MIN(J247,J253*'Assumptions'!$D$88)+MIN(J269,J275*'Assumptions'!$D$88)+MIN(J291,J297*'Assumptions'!$D$88)+MIN(J313,J319*'Assumptions'!$D$88)+MIN(J335,J341*'Assumptions'!$D$88)+MIN(J357,J363*'Assumptions'!$D$88)</x:f>
        <x:v>143.3</x:v>
      </x:c>
      <x:c r="K39" s="1"/>
      <x:c r="L39" s="1"/>
      <x:c r="M39" s="1"/>
    </x:row>
    <x:row r="40" ht="22" customHeight="1">
      <x:c r="A40" s="1"/>
      <x:c r="B40" s="1"/>
      <x:c r="C40" s="1" t="str">
        <x:v>Tier 1 / typical property weight</x:v>
      </x:c>
      <x:c r="D40" s="51" t="n">
        <x:f>IF(D12&gt;0,(IF('Town inputs'!$G$26=1,D73*'Town inputs'!$I$45,0)+IF('Town inputs'!$G$27=1,D95*'Town inputs'!$I$46,0)+IF('Town inputs'!$G$28=1,D117*'Town inputs'!$I$47,0)+IF('Town inputs'!$G$29=1,D139*'Town inputs'!$I$48,0)+IF('Town inputs'!$G$30=1,D161*'Town inputs'!$I$49,0)+IF('Town inputs'!$G$31=1,D183*'Town inputs'!$I$50,0)+IF('Town inputs'!$G$32=1,D205*'Town inputs'!$I$51,0)+IF('Town inputs'!$G$33=1,D227*'Town inputs'!$I$52,0)+IF('Town inputs'!$G$34=1,D249*'Town inputs'!$I$53,0)+IF('Town inputs'!$G$35=1,D271*'Town inputs'!$I$54,0)+IF('Town inputs'!$G$36=1,D293*'Town inputs'!$I$55,0)+IF('Town inputs'!$G$37=1,D315*'Town inputs'!$I$56,0)+IF('Town inputs'!$G$38=1,D337*'Town inputs'!$I$57,0)+IF('Town inputs'!$G$39=1,D359*'Town inputs'!$I$58,0))/D12,1)</x:f>
        <x:v>0.7</x:v>
      </x:c>
      <x:c r="E40" s="51" t="n">
        <x:f>IF(E12&gt;0,(IF('Town inputs'!$G$26=1,E73*'Town inputs'!$I$45,0)+IF('Town inputs'!$G$27=1,E95*'Town inputs'!$I$46,0)+IF('Town inputs'!$G$28=1,E117*'Town inputs'!$I$47,0)+IF('Town inputs'!$G$29=1,E139*'Town inputs'!$I$48,0)+IF('Town inputs'!$G$30=1,E161*'Town inputs'!$I$49,0)+IF('Town inputs'!$G$31=1,E183*'Town inputs'!$I$50,0)+IF('Town inputs'!$G$32=1,E205*'Town inputs'!$I$51,0)+IF('Town inputs'!$G$33=1,E227*'Town inputs'!$I$52,0)+IF('Town inputs'!$G$34=1,E249*'Town inputs'!$I$53,0)+IF('Town inputs'!$G$35=1,E271*'Town inputs'!$I$54,0)+IF('Town inputs'!$G$36=1,E293*'Town inputs'!$I$55,0)+IF('Town inputs'!$G$37=1,E315*'Town inputs'!$I$56,0)+IF('Town inputs'!$G$38=1,E337*'Town inputs'!$I$57,0)+IF('Town inputs'!$G$39=1,E359*'Town inputs'!$I$58,0))/E12,1)</x:f>
        <x:v>0.5183263144086572</x:v>
      </x:c>
      <x:c r="F40" s="51" t="n">
        <x:f>IF(F12&gt;0,(IF('Town inputs'!$G$26=1,F73*'Town inputs'!$I$45,0)+IF('Town inputs'!$G$27=1,F95*'Town inputs'!$I$46,0)+IF('Town inputs'!$G$28=1,F117*'Town inputs'!$I$47,0)+IF('Town inputs'!$G$29=1,F139*'Town inputs'!$I$48,0)+IF('Town inputs'!$G$30=1,F161*'Town inputs'!$I$49,0)+IF('Town inputs'!$G$31=1,F183*'Town inputs'!$I$50,0)+IF('Town inputs'!$G$32=1,F205*'Town inputs'!$I$51,0)+IF('Town inputs'!$G$33=1,F227*'Town inputs'!$I$52,0)+IF('Town inputs'!$G$34=1,F249*'Town inputs'!$I$53,0)+IF('Town inputs'!$G$35=1,F271*'Town inputs'!$I$54,0)+IF('Town inputs'!$G$36=1,F293*'Town inputs'!$I$55,0)+IF('Town inputs'!$G$37=1,F315*'Town inputs'!$I$56,0)+IF('Town inputs'!$G$38=1,F337*'Town inputs'!$I$57,0)+IF('Town inputs'!$G$39=1,F359*'Town inputs'!$I$58,0))/F12,1)</x:f>
        <x:v>0.5378923319701439</x:v>
      </x:c>
      <x:c r="G40" s="51" t="n">
        <x:f>IF(G12&gt;0,(IF('Town inputs'!$G$26=1,G73*'Town inputs'!$I$45,0)+IF('Town inputs'!$G$27=1,G95*'Town inputs'!$I$46,0)+IF('Town inputs'!$G$28=1,G117*'Town inputs'!$I$47,0)+IF('Town inputs'!$G$29=1,G139*'Town inputs'!$I$48,0)+IF('Town inputs'!$G$30=1,G161*'Town inputs'!$I$49,0)+IF('Town inputs'!$G$31=1,G183*'Town inputs'!$I$50,0)+IF('Town inputs'!$G$32=1,G205*'Town inputs'!$I$51,0)+IF('Town inputs'!$G$33=1,G227*'Town inputs'!$I$52,0)+IF('Town inputs'!$G$34=1,G249*'Town inputs'!$I$53,0)+IF('Town inputs'!$G$35=1,G271*'Town inputs'!$I$54,0)+IF('Town inputs'!$G$36=1,G293*'Town inputs'!$I$55,0)+IF('Town inputs'!$G$37=1,G315*'Town inputs'!$I$56,0)+IF('Town inputs'!$G$38=1,G337*'Town inputs'!$I$57,0)+IF('Town inputs'!$G$39=1,G359*'Town inputs'!$I$58,0))/G12,1)</x:f>
        <x:v>0.5386071782699499</x:v>
      </x:c>
      <x:c r="H40" s="51" t="n">
        <x:f>IF(H12&gt;0,(IF('Town inputs'!$G$26=1,H73*'Town inputs'!$I$45,0)+IF('Town inputs'!$G$27=1,H95*'Town inputs'!$I$46,0)+IF('Town inputs'!$G$28=1,H117*'Town inputs'!$I$47,0)+IF('Town inputs'!$G$29=1,H139*'Town inputs'!$I$48,0)+IF('Town inputs'!$G$30=1,H161*'Town inputs'!$I$49,0)+IF('Town inputs'!$G$31=1,H183*'Town inputs'!$I$50,0)+IF('Town inputs'!$G$32=1,H205*'Town inputs'!$I$51,0)+IF('Town inputs'!$G$33=1,H227*'Town inputs'!$I$52,0)+IF('Town inputs'!$G$34=1,H249*'Town inputs'!$I$53,0)+IF('Town inputs'!$G$35=1,H271*'Town inputs'!$I$54,0)+IF('Town inputs'!$G$36=1,H293*'Town inputs'!$I$55,0)+IF('Town inputs'!$G$37=1,H315*'Town inputs'!$I$56,0)+IF('Town inputs'!$G$38=1,H337*'Town inputs'!$I$57,0)+IF('Town inputs'!$G$39=1,H359*'Town inputs'!$I$58,0))/H12,1)</x:f>
        <x:v>0.49832685190740533</x:v>
      </x:c>
      <x:c r="I40" s="51" t="n">
        <x:f>IF(I12&gt;0,(IF('Town inputs'!$G$26=1,I73*'Town inputs'!$I$45,0)+IF('Town inputs'!$G$27=1,I95*'Town inputs'!$I$46,0)+IF('Town inputs'!$G$28=1,I117*'Town inputs'!$I$47,0)+IF('Town inputs'!$G$29=1,I139*'Town inputs'!$I$48,0)+IF('Town inputs'!$G$30=1,I161*'Town inputs'!$I$49,0)+IF('Town inputs'!$G$31=1,I183*'Town inputs'!$I$50,0)+IF('Town inputs'!$G$32=1,I205*'Town inputs'!$I$51,0)+IF('Town inputs'!$G$33=1,I227*'Town inputs'!$I$52,0)+IF('Town inputs'!$G$34=1,I249*'Town inputs'!$I$53,0)+IF('Town inputs'!$G$35=1,I271*'Town inputs'!$I$54,0)+IF('Town inputs'!$G$36=1,I293*'Town inputs'!$I$55,0)+IF('Town inputs'!$G$37=1,I315*'Town inputs'!$I$56,0)+IF('Town inputs'!$G$38=1,I337*'Town inputs'!$I$57,0)+IF('Town inputs'!$G$39=1,I359*'Town inputs'!$I$58,0))/I12,1)</x:f>
        <x:v>0.446214049490904</x:v>
      </x:c>
      <x:c r="J40" s="51" t="n">
        <x:f>IF(J12&gt;0,(IF('Town inputs'!$G$26=1,J73*'Town inputs'!$I$45,0)+IF('Town inputs'!$G$27=1,J95*'Town inputs'!$I$46,0)+IF('Town inputs'!$G$28=1,J117*'Town inputs'!$I$47,0)+IF('Town inputs'!$G$29=1,J139*'Town inputs'!$I$48,0)+IF('Town inputs'!$G$30=1,J161*'Town inputs'!$I$49,0)+IF('Town inputs'!$G$31=1,J183*'Town inputs'!$I$50,0)+IF('Town inputs'!$G$32=1,J205*'Town inputs'!$I$51,0)+IF('Town inputs'!$G$33=1,J227*'Town inputs'!$I$52,0)+IF('Town inputs'!$G$34=1,J249*'Town inputs'!$I$53,0)+IF('Town inputs'!$G$35=1,J271*'Town inputs'!$I$54,0)+IF('Town inputs'!$G$36=1,J293*'Town inputs'!$I$55,0)+IF('Town inputs'!$G$37=1,J315*'Town inputs'!$I$56,0)+IF('Town inputs'!$G$38=1,J337*'Town inputs'!$I$57,0)+IF('Town inputs'!$G$39=1,J359*'Town inputs'!$I$58,0))/J12,1)</x:f>
        <x:v>0.4047977133176648</x:v>
      </x:c>
      <x:c r="K40" s="1"/>
      <x:c r="L40" s="1"/>
      <x:c r="M40" s="1"/>
    </x:row>
    <x:row r="41" ht="22" customHeight="1">
      <x:c r="A41" s="1"/>
      <x:c r="B41" s="1"/>
      <x:c r="C41" s="1" t="str">
        <x:v>Tier 1 / large property weight</x:v>
      </x:c>
      <x:c r="D41" s="51" t="n">
        <x:f>IF(D12&gt;0,(IF('Town inputs'!$G$26=1,D73*'Town inputs'!$H$26,0)+IF('Town inputs'!$G$27=1,D95*'Town inputs'!$H$27,0)+IF('Town inputs'!$G$28=1,D117*'Town inputs'!$H$28,0)+IF('Town inputs'!$G$29=1,D139*'Town inputs'!$H$29,0)+IF('Town inputs'!$G$30=1,D161*'Town inputs'!$H$30,0)+IF('Town inputs'!$G$31=1,D183*'Town inputs'!$H$31,0)+IF('Town inputs'!$G$32=1,D205*'Town inputs'!$H$32,0)+IF('Town inputs'!$G$33=1,D227*'Town inputs'!$H$33,0)+IF('Town inputs'!$G$34=1,D249*'Town inputs'!$H$34,0)+IF('Town inputs'!$G$35=1,D271*'Town inputs'!$H$35,0)+IF('Town inputs'!$G$36=1,D293*'Town inputs'!$H$36,0)+IF('Town inputs'!$G$37=1,D315*'Town inputs'!$H$37,0)+IF('Town inputs'!$G$38=1,D337*'Town inputs'!$H$38,0)+IF('Town inputs'!$G$39=1,D359*'Town inputs'!$H$39,0))/D12,0)</x:f>
        <x:v>0.25</x:v>
      </x:c>
      <x:c r="E41" s="51" t="n">
        <x:f>IF(E12&gt;0,(IF('Town inputs'!$G$26=1,E73*'Town inputs'!$H$26,0)+IF('Town inputs'!$G$27=1,E95*'Town inputs'!$H$27,0)+IF('Town inputs'!$G$28=1,E117*'Town inputs'!$H$28,0)+IF('Town inputs'!$G$29=1,E139*'Town inputs'!$H$29,0)+IF('Town inputs'!$G$30=1,E161*'Town inputs'!$H$30,0)+IF('Town inputs'!$G$31=1,E183*'Town inputs'!$H$31,0)+IF('Town inputs'!$G$32=1,E205*'Town inputs'!$H$32,0)+IF('Town inputs'!$G$33=1,E227*'Town inputs'!$H$33,0)+IF('Town inputs'!$G$34=1,E249*'Town inputs'!$H$34,0)+IF('Town inputs'!$G$35=1,E271*'Town inputs'!$H$35,0)+IF('Town inputs'!$G$36=1,E293*'Town inputs'!$H$36,0)+IF('Town inputs'!$G$37=1,E315*'Town inputs'!$H$37,0)+IF('Town inputs'!$G$38=1,E337*'Town inputs'!$H$38,0)+IF('Town inputs'!$G$39=1,E359*'Town inputs'!$H$39,0))/E12,0)</x:f>
        <x:v>0.1996199023150058</x:v>
      </x:c>
      <x:c r="F41" s="51" t="n">
        <x:f>IF(F12&gt;0,(IF('Town inputs'!$G$26=1,F73*'Town inputs'!$H$26,0)+IF('Town inputs'!$G$27=1,F95*'Town inputs'!$H$27,0)+IF('Town inputs'!$G$28=1,F117*'Town inputs'!$H$28,0)+IF('Town inputs'!$G$29=1,F139*'Town inputs'!$H$29,0)+IF('Town inputs'!$G$30=1,F161*'Town inputs'!$H$30,0)+IF('Town inputs'!$G$31=1,F183*'Town inputs'!$H$31,0)+IF('Town inputs'!$G$32=1,F205*'Town inputs'!$H$32,0)+IF('Town inputs'!$G$33=1,F227*'Town inputs'!$H$33,0)+IF('Town inputs'!$G$34=1,F249*'Town inputs'!$H$34,0)+IF('Town inputs'!$G$35=1,F271*'Town inputs'!$H$35,0)+IF('Town inputs'!$G$36=1,F293*'Town inputs'!$H$36,0)+IF('Town inputs'!$G$37=1,F315*'Town inputs'!$H$37,0)+IF('Town inputs'!$G$38=1,F337*'Town inputs'!$H$38,0)+IF('Town inputs'!$G$39=1,F359*'Town inputs'!$H$39,0))/F12,0)</x:f>
        <x:v>0.19320211465650805</x:v>
      </x:c>
      <x:c r="G41" s="51" t="n">
        <x:f>IF(G12&gt;0,(IF('Town inputs'!$G$26=1,G73*'Town inputs'!$H$26,0)+IF('Town inputs'!$G$27=1,G95*'Town inputs'!$H$27,0)+IF('Town inputs'!$G$28=1,G117*'Town inputs'!$H$28,0)+IF('Town inputs'!$G$29=1,G139*'Town inputs'!$H$29,0)+IF('Town inputs'!$G$30=1,G161*'Town inputs'!$H$30,0)+IF('Town inputs'!$G$31=1,G183*'Town inputs'!$H$31,0)+IF('Town inputs'!$G$32=1,G205*'Town inputs'!$H$32,0)+IF('Town inputs'!$G$33=1,G227*'Town inputs'!$H$33,0)+IF('Town inputs'!$G$34=1,G249*'Town inputs'!$H$34,0)+IF('Town inputs'!$G$35=1,G271*'Town inputs'!$H$35,0)+IF('Town inputs'!$G$36=1,G293*'Town inputs'!$H$36,0)+IF('Town inputs'!$G$37=1,G315*'Town inputs'!$H$37,0)+IF('Town inputs'!$G$38=1,G337*'Town inputs'!$H$38,0)+IF('Town inputs'!$G$39=1,G359*'Town inputs'!$H$39,0))/G12,0)</x:f>
        <x:v>0.1818394784324633</x:v>
      </x:c>
      <x:c r="H41" s="51" t="n">
        <x:f>IF(H12&gt;0,(IF('Town inputs'!$G$26=1,H73*'Town inputs'!$H$26,0)+IF('Town inputs'!$G$27=1,H95*'Town inputs'!$H$27,0)+IF('Town inputs'!$G$28=1,H117*'Town inputs'!$H$28,0)+IF('Town inputs'!$G$29=1,H139*'Town inputs'!$H$29,0)+IF('Town inputs'!$G$30=1,H161*'Town inputs'!$H$30,0)+IF('Town inputs'!$G$31=1,H183*'Town inputs'!$H$31,0)+IF('Town inputs'!$G$32=1,H205*'Town inputs'!$H$32,0)+IF('Town inputs'!$G$33=1,H227*'Town inputs'!$H$33,0)+IF('Town inputs'!$G$34=1,H249*'Town inputs'!$H$34,0)+IF('Town inputs'!$G$35=1,H271*'Town inputs'!$H$35,0)+IF('Town inputs'!$G$36=1,H293*'Town inputs'!$H$36,0)+IF('Town inputs'!$G$37=1,H315*'Town inputs'!$H$37,0)+IF('Town inputs'!$G$38=1,H337*'Town inputs'!$H$38,0)+IF('Town inputs'!$G$39=1,H359*'Town inputs'!$H$39,0))/H12,0)</x:f>
        <x:v>0.16321335904551934</x:v>
      </x:c>
      <x:c r="I41" s="51" t="n">
        <x:f>IF(I12&gt;0,(IF('Town inputs'!$G$26=1,I73*'Town inputs'!$H$26,0)+IF('Town inputs'!$G$27=1,I95*'Town inputs'!$H$27,0)+IF('Town inputs'!$G$28=1,I117*'Town inputs'!$H$28,0)+IF('Town inputs'!$G$29=1,I139*'Town inputs'!$H$29,0)+IF('Town inputs'!$G$30=1,I161*'Town inputs'!$H$30,0)+IF('Town inputs'!$G$31=1,I183*'Town inputs'!$H$31,0)+IF('Town inputs'!$G$32=1,I205*'Town inputs'!$H$32,0)+IF('Town inputs'!$G$33=1,I227*'Town inputs'!$H$33,0)+IF('Town inputs'!$G$34=1,I249*'Town inputs'!$H$34,0)+IF('Town inputs'!$G$35=1,I271*'Town inputs'!$H$35,0)+IF('Town inputs'!$G$36=1,I293*'Town inputs'!$H$36,0)+IF('Town inputs'!$G$37=1,I315*'Town inputs'!$H$37,0)+IF('Town inputs'!$G$38=1,I337*'Town inputs'!$H$38,0)+IF('Town inputs'!$G$39=1,I359*'Town inputs'!$H$39,0))/I12,0)</x:f>
        <x:v>0.14393008804872406</x:v>
      </x:c>
      <x:c r="J41" s="51" t="n">
        <x:f>IF(J12&gt;0,(IF('Town inputs'!$G$26=1,J73*'Town inputs'!$H$26,0)+IF('Town inputs'!$G$27=1,J95*'Town inputs'!$H$27,0)+IF('Town inputs'!$G$28=1,J117*'Town inputs'!$H$28,0)+IF('Town inputs'!$G$29=1,J139*'Town inputs'!$H$29,0)+IF('Town inputs'!$G$30=1,J161*'Town inputs'!$H$30,0)+IF('Town inputs'!$G$31=1,J183*'Town inputs'!$H$31,0)+IF('Town inputs'!$G$32=1,J205*'Town inputs'!$H$32,0)+IF('Town inputs'!$G$33=1,J227*'Town inputs'!$H$33,0)+IF('Town inputs'!$G$34=1,J249*'Town inputs'!$H$34,0)+IF('Town inputs'!$G$35=1,J271*'Town inputs'!$H$35,0)+IF('Town inputs'!$G$36=1,J293*'Town inputs'!$H$36,0)+IF('Town inputs'!$G$37=1,J315*'Town inputs'!$H$37,0)+IF('Town inputs'!$G$38=1,J337*'Town inputs'!$H$38,0)+IF('Town inputs'!$G$39=1,J359*'Town inputs'!$H$39,0))/J12,0)</x:f>
        <x:v>0.1291557345581975</x:v>
      </x:c>
      <x:c r="K41" s="1"/>
      <x:c r="L41" s="1"/>
      <x:c r="M41" s="1"/>
    </x:row>
    <x:row r="42" ht="22" customHeight="1">
      <x:c r="A42" s="1"/>
      <x:c r="B42" s="1"/>
      <x:c r="C42" s="1" t="str">
        <x:v>Tier 1 / very large property weight</x:v>
      </x:c>
      <x:c r="D42" s="51" t="n">
        <x:f>IF(D12&gt;0,(IF('Town inputs'!$G$26=1,D73*'Town inputs'!$I$26,0)+IF('Town inputs'!$G$27=1,D95*'Town inputs'!$I$27,0)+IF('Town inputs'!$G$28=1,D117*'Town inputs'!$I$28,0)+IF('Town inputs'!$G$29=1,D139*'Town inputs'!$I$29,0)+IF('Town inputs'!$G$30=1,D161*'Town inputs'!$I$30,0)+IF('Town inputs'!$G$31=1,D183*'Town inputs'!$I$31,0)+IF('Town inputs'!$G$32=1,D205*'Town inputs'!$I$32,0)+IF('Town inputs'!$G$33=1,D227*'Town inputs'!$I$33,0)+IF('Town inputs'!$G$34=1,D249*'Town inputs'!$I$34,0)+IF('Town inputs'!$G$35=1,D271*'Town inputs'!$I$35,0)+IF('Town inputs'!$G$36=1,D293*'Town inputs'!$I$36,0)+IF('Town inputs'!$G$37=1,D315*'Town inputs'!$I$37,0)+IF('Town inputs'!$G$38=1,D337*'Town inputs'!$I$38,0)+IF('Town inputs'!$G$39=1,D359*'Town inputs'!$I$39,0))/D12,0)</x:f>
        <x:v>0.05</x:v>
      </x:c>
      <x:c r="E42" s="51" t="n">
        <x:f>IF(E12&gt;0,(IF('Town inputs'!$G$26=1,E73*'Town inputs'!$I$26,0)+IF('Town inputs'!$G$27=1,E95*'Town inputs'!$I$27,0)+IF('Town inputs'!$G$28=1,E117*'Town inputs'!$I$28,0)+IF('Town inputs'!$G$29=1,E139*'Town inputs'!$I$29,0)+IF('Town inputs'!$G$30=1,E161*'Town inputs'!$I$30,0)+IF('Town inputs'!$G$31=1,E183*'Town inputs'!$I$31,0)+IF('Town inputs'!$G$32=1,E205*'Town inputs'!$I$32,0)+IF('Town inputs'!$G$33=1,E227*'Town inputs'!$I$33,0)+IF('Town inputs'!$G$34=1,E249*'Town inputs'!$I$34,0)+IF('Town inputs'!$G$35=1,E271*'Town inputs'!$I$35,0)+IF('Town inputs'!$G$36=1,E293*'Town inputs'!$I$36,0)+IF('Town inputs'!$G$37=1,E315*'Town inputs'!$I$37,0)+IF('Town inputs'!$G$38=1,E337*'Town inputs'!$I$38,0)+IF('Town inputs'!$G$39=1,E359*'Town inputs'!$I$39,0))/E12,0)</x:f>
        <x:v>0.03778664298545595</x:v>
      </x:c>
      <x:c r="F42" s="51" t="n">
        <x:f>IF(F12&gt;0,(IF('Town inputs'!$G$26=1,F73*'Town inputs'!$I$26,0)+IF('Town inputs'!$G$27=1,F95*'Town inputs'!$I$27,0)+IF('Town inputs'!$G$28=1,F117*'Town inputs'!$I$28,0)+IF('Town inputs'!$G$29=1,F139*'Town inputs'!$I$29,0)+IF('Town inputs'!$G$30=1,F161*'Town inputs'!$I$30,0)+IF('Town inputs'!$G$31=1,F183*'Town inputs'!$I$31,0)+IF('Town inputs'!$G$32=1,F205*'Town inputs'!$I$32,0)+IF('Town inputs'!$G$33=1,F227*'Town inputs'!$I$33,0)+IF('Town inputs'!$G$34=1,F249*'Town inputs'!$I$34,0)+IF('Town inputs'!$G$35=1,F271*'Town inputs'!$I$35,0)+IF('Town inputs'!$G$36=1,F293*'Town inputs'!$I$36,0)+IF('Town inputs'!$G$37=1,F315*'Town inputs'!$I$37,0)+IF('Town inputs'!$G$38=1,F337*'Town inputs'!$I$38,0)+IF('Town inputs'!$G$39=1,F359*'Town inputs'!$I$39,0))/F12,0)</x:f>
        <x:v>0.035801866334932896</x:v>
      </x:c>
      <x:c r="G42" s="51" t="n">
        <x:f>IF(G12&gt;0,(IF('Town inputs'!$G$26=1,G73*'Town inputs'!$I$26,0)+IF('Town inputs'!$G$27=1,G95*'Town inputs'!$I$27,0)+IF('Town inputs'!$G$28=1,G117*'Town inputs'!$I$28,0)+IF('Town inputs'!$G$29=1,G139*'Town inputs'!$I$29,0)+IF('Town inputs'!$G$30=1,G161*'Town inputs'!$I$30,0)+IF('Town inputs'!$G$31=1,G183*'Town inputs'!$I$31,0)+IF('Town inputs'!$G$32=1,G205*'Town inputs'!$I$32,0)+IF('Town inputs'!$G$33=1,G227*'Town inputs'!$I$33,0)+IF('Town inputs'!$G$34=1,G249*'Town inputs'!$I$34,0)+IF('Town inputs'!$G$35=1,G271*'Town inputs'!$I$35,0)+IF('Town inputs'!$G$36=1,G293*'Town inputs'!$I$36,0)+IF('Town inputs'!$G$37=1,G315*'Town inputs'!$I$37,0)+IF('Town inputs'!$G$38=1,G337*'Town inputs'!$I$38,0)+IF('Town inputs'!$G$39=1,G359*'Town inputs'!$I$39,0))/G12,0)</x:f>
        <x:v>0.03311458122293039</x:v>
      </x:c>
      <x:c r="H42" s="51" t="n">
        <x:f>IF(H12&gt;0,(IF('Town inputs'!$G$26=1,H73*'Town inputs'!$I$26,0)+IF('Town inputs'!$G$27=1,H95*'Town inputs'!$I$27,0)+IF('Town inputs'!$G$28=1,H117*'Town inputs'!$I$28,0)+IF('Town inputs'!$G$29=1,H139*'Town inputs'!$I$29,0)+IF('Town inputs'!$G$30=1,H161*'Town inputs'!$I$30,0)+IF('Town inputs'!$G$31=1,H183*'Town inputs'!$I$31,0)+IF('Town inputs'!$G$32=1,H205*'Town inputs'!$I$32,0)+IF('Town inputs'!$G$33=1,H227*'Town inputs'!$I$33,0)+IF('Town inputs'!$G$34=1,H249*'Town inputs'!$I$34,0)+IF('Town inputs'!$G$35=1,H271*'Town inputs'!$I$35,0)+IF('Town inputs'!$G$36=1,H293*'Town inputs'!$I$36,0)+IF('Town inputs'!$G$37=1,H315*'Town inputs'!$I$37,0)+IF('Town inputs'!$G$38=1,H337*'Town inputs'!$I$38,0)+IF('Town inputs'!$G$39=1,H359*'Town inputs'!$I$39,0))/H12,0)</x:f>
        <x:v>0.029380399976221234</x:v>
      </x:c>
      <x:c r="I42" s="51" t="n">
        <x:f>IF(I12&gt;0,(IF('Town inputs'!$G$26=1,I73*'Town inputs'!$I$26,0)+IF('Town inputs'!$G$27=1,I95*'Town inputs'!$I$27,0)+IF('Town inputs'!$G$28=1,I117*'Town inputs'!$I$28,0)+IF('Town inputs'!$G$29=1,I139*'Town inputs'!$I$29,0)+IF('Town inputs'!$G$30=1,I161*'Town inputs'!$I$30,0)+IF('Town inputs'!$G$31=1,I183*'Town inputs'!$I$31,0)+IF('Town inputs'!$G$32=1,I205*'Town inputs'!$I$32,0)+IF('Town inputs'!$G$33=1,I227*'Town inputs'!$I$33,0)+IF('Town inputs'!$G$34=1,I249*'Town inputs'!$I$34,0)+IF('Town inputs'!$G$35=1,I271*'Town inputs'!$I$35,0)+IF('Town inputs'!$G$36=1,I293*'Town inputs'!$I$36,0)+IF('Town inputs'!$G$37=1,I315*'Town inputs'!$I$37,0)+IF('Town inputs'!$G$38=1,I337*'Town inputs'!$I$38,0)+IF('Town inputs'!$G$39=1,I359*'Town inputs'!$I$39,0))/I12,0)</x:f>
        <x:v>0.025762783194793908</x:v>
      </x:c>
      <x:c r="J42" s="51" t="n">
        <x:f>IF(J12&gt;0,(IF('Town inputs'!$G$26=1,J73*'Town inputs'!$I$26,0)+IF('Town inputs'!$G$27=1,J95*'Town inputs'!$I$27,0)+IF('Town inputs'!$G$28=1,J117*'Town inputs'!$I$28,0)+IF('Town inputs'!$G$29=1,J139*'Town inputs'!$I$29,0)+IF('Town inputs'!$G$30=1,J161*'Town inputs'!$I$30,0)+IF('Town inputs'!$G$31=1,J183*'Town inputs'!$I$31,0)+IF('Town inputs'!$G$32=1,J205*'Town inputs'!$I$32,0)+IF('Town inputs'!$G$33=1,J227*'Town inputs'!$I$33,0)+IF('Town inputs'!$G$34=1,J249*'Town inputs'!$I$34,0)+IF('Town inputs'!$G$35=1,J271*'Town inputs'!$I$35,0)+IF('Town inputs'!$G$36=1,J293*'Town inputs'!$I$36,0)+IF('Town inputs'!$G$37=1,J315*'Town inputs'!$I$37,0)+IF('Town inputs'!$G$38=1,J337*'Town inputs'!$I$38,0)+IF('Town inputs'!$G$39=1,J359*'Town inputs'!$I$39,0))/J12,0)</x:f>
        <x:v>0.023045373253124477</x:v>
      </x:c>
      <x:c r="K42" s="1"/>
      <x:c r="L42" s="1"/>
      <x:c r="M42" s="1"/>
    </x:row>
    <x:row r="43" ht="22" customHeight="1">
      <x:c r="A43" s="1"/>
      <x:c r="B43" s="1"/>
      <x:c r="C43" s="1" t="str">
        <x:v>Tier 2 / typical property weight</x:v>
      </x:c>
      <x:c r="D43" s="51" t="n">
        <x:f>IF(D12&gt;0,(IF('Town inputs'!$G$26=2,D73*'Town inputs'!$I$45,0)+IF('Town inputs'!$G$27=2,D95*'Town inputs'!$I$46,0)+IF('Town inputs'!$G$28=2,D117*'Town inputs'!$I$47,0)+IF('Town inputs'!$G$29=2,D139*'Town inputs'!$I$48,0)+IF('Town inputs'!$G$30=2,D161*'Town inputs'!$I$49,0)+IF('Town inputs'!$G$31=2,D183*'Town inputs'!$I$50,0)+IF('Town inputs'!$G$32=2,D205*'Town inputs'!$I$51,0)+IF('Town inputs'!$G$33=2,D227*'Town inputs'!$I$52,0)+IF('Town inputs'!$G$34=2,D249*'Town inputs'!$I$53,0)+IF('Town inputs'!$G$35=2,D271*'Town inputs'!$I$54,0)+IF('Town inputs'!$G$36=2,D293*'Town inputs'!$I$55,0)+IF('Town inputs'!$G$37=2,D315*'Town inputs'!$I$56,0)+IF('Town inputs'!$G$38=2,D337*'Town inputs'!$I$57,0)+IF('Town inputs'!$G$39=2,D359*'Town inputs'!$I$58,0))/D12,0)</x:f>
        <x:v>0</x:v>
      </x:c>
      <x:c r="E43" s="51" t="n">
        <x:f>IF(E12&gt;0,(IF('Town inputs'!$G$26=2,E73*'Town inputs'!$I$45,0)+IF('Town inputs'!$G$27=2,E95*'Town inputs'!$I$46,0)+IF('Town inputs'!$G$28=2,E117*'Town inputs'!$I$47,0)+IF('Town inputs'!$G$29=2,E139*'Town inputs'!$I$48,0)+IF('Town inputs'!$G$30=2,E161*'Town inputs'!$I$49,0)+IF('Town inputs'!$G$31=2,E183*'Town inputs'!$I$50,0)+IF('Town inputs'!$G$32=2,E205*'Town inputs'!$I$51,0)+IF('Town inputs'!$G$33=2,E227*'Town inputs'!$I$52,0)+IF('Town inputs'!$G$34=2,E249*'Town inputs'!$I$53,0)+IF('Town inputs'!$G$35=2,E271*'Town inputs'!$I$54,0)+IF('Town inputs'!$G$36=2,E293*'Town inputs'!$I$55,0)+IF('Town inputs'!$G$37=2,E315*'Town inputs'!$I$56,0)+IF('Town inputs'!$G$38=2,E337*'Town inputs'!$I$57,0)+IF('Town inputs'!$G$39=2,E359*'Town inputs'!$I$58,0))/E12,0)</x:f>
        <x:v>0.1587736411890726</x:v>
      </x:c>
      <x:c r="F43" s="51" t="n">
        <x:f>IF(F12&gt;0,(IF('Town inputs'!$G$26=2,F73*'Town inputs'!$I$45,0)+IF('Town inputs'!$G$27=2,F95*'Town inputs'!$I$46,0)+IF('Town inputs'!$G$28=2,F117*'Town inputs'!$I$47,0)+IF('Town inputs'!$G$29=2,F139*'Town inputs'!$I$48,0)+IF('Town inputs'!$G$30=2,F161*'Town inputs'!$I$49,0)+IF('Town inputs'!$G$31=2,F183*'Town inputs'!$I$50,0)+IF('Town inputs'!$G$32=2,F205*'Town inputs'!$I$51,0)+IF('Town inputs'!$G$33=2,F227*'Town inputs'!$I$52,0)+IF('Town inputs'!$G$34=2,F249*'Town inputs'!$I$53,0)+IF('Town inputs'!$G$35=2,F271*'Town inputs'!$I$54,0)+IF('Town inputs'!$G$36=2,F293*'Town inputs'!$I$55,0)+IF('Town inputs'!$G$37=2,F315*'Town inputs'!$I$56,0)+IF('Town inputs'!$G$38=2,F337*'Town inputs'!$I$57,0)+IF('Town inputs'!$G$39=2,F359*'Town inputs'!$I$58,0))/F12,0)</x:f>
        <x:v>0.1515173965749698</x:v>
      </x:c>
      <x:c r="G43" s="51" t="n">
        <x:f>IF(G12&gt;0,(IF('Town inputs'!$G$26=2,G73*'Town inputs'!$I$45,0)+IF('Town inputs'!$G$27=2,G95*'Town inputs'!$I$46,0)+IF('Town inputs'!$G$28=2,G117*'Town inputs'!$I$47,0)+IF('Town inputs'!$G$29=2,G139*'Town inputs'!$I$48,0)+IF('Town inputs'!$G$30=2,G161*'Town inputs'!$I$49,0)+IF('Town inputs'!$G$31=2,G183*'Town inputs'!$I$50,0)+IF('Town inputs'!$G$32=2,G205*'Town inputs'!$I$51,0)+IF('Town inputs'!$G$33=2,G227*'Town inputs'!$I$52,0)+IF('Town inputs'!$G$34=2,G249*'Town inputs'!$I$53,0)+IF('Town inputs'!$G$35=2,G271*'Town inputs'!$I$54,0)+IF('Town inputs'!$G$36=2,G293*'Town inputs'!$I$55,0)+IF('Town inputs'!$G$37=2,G315*'Town inputs'!$I$56,0)+IF('Town inputs'!$G$38=2,G337*'Town inputs'!$I$57,0)+IF('Town inputs'!$G$39=2,G359*'Town inputs'!$I$58,0))/G12,0)</x:f>
        <x:v>0.14798525663195958</x:v>
      </x:c>
      <x:c r="H43" s="51" t="n">
        <x:f>IF(H12&gt;0,(IF('Town inputs'!$G$26=2,H73*'Town inputs'!$I$45,0)+IF('Town inputs'!$G$27=2,H95*'Town inputs'!$I$46,0)+IF('Town inputs'!$G$28=2,H117*'Town inputs'!$I$47,0)+IF('Town inputs'!$G$29=2,H139*'Town inputs'!$I$48,0)+IF('Town inputs'!$G$30=2,H161*'Town inputs'!$I$49,0)+IF('Town inputs'!$G$31=2,H183*'Town inputs'!$I$50,0)+IF('Town inputs'!$G$32=2,H205*'Town inputs'!$I$51,0)+IF('Town inputs'!$G$33=2,H227*'Town inputs'!$I$52,0)+IF('Town inputs'!$G$34=2,H249*'Town inputs'!$I$53,0)+IF('Town inputs'!$G$35=2,H271*'Town inputs'!$I$54,0)+IF('Town inputs'!$G$36=2,H293*'Town inputs'!$I$55,0)+IF('Town inputs'!$G$37=2,H315*'Town inputs'!$I$56,0)+IF('Town inputs'!$G$38=2,H337*'Town inputs'!$I$57,0)+IF('Town inputs'!$G$39=2,H359*'Town inputs'!$I$58,0))/H12,0)</x:f>
        <x:v>0.17413137290496106</x:v>
      </x:c>
      <x:c r="I43" s="51" t="n">
        <x:f>IF(I12&gt;0,(IF('Town inputs'!$G$26=2,I73*'Town inputs'!$I$45,0)+IF('Town inputs'!$G$27=2,I95*'Town inputs'!$I$46,0)+IF('Town inputs'!$G$28=2,I117*'Town inputs'!$I$47,0)+IF('Town inputs'!$G$29=2,I139*'Town inputs'!$I$48,0)+IF('Town inputs'!$G$30=2,I161*'Town inputs'!$I$49,0)+IF('Town inputs'!$G$31=2,I183*'Town inputs'!$I$50,0)+IF('Town inputs'!$G$32=2,I205*'Town inputs'!$I$51,0)+IF('Town inputs'!$G$33=2,I227*'Town inputs'!$I$52,0)+IF('Town inputs'!$G$34=2,I249*'Town inputs'!$I$53,0)+IF('Town inputs'!$G$35=2,I271*'Town inputs'!$I$54,0)+IF('Town inputs'!$G$36=2,I293*'Town inputs'!$I$55,0)+IF('Town inputs'!$G$37=2,I315*'Town inputs'!$I$56,0)+IF('Town inputs'!$G$38=2,I337*'Town inputs'!$I$57,0)+IF('Town inputs'!$G$39=2,I359*'Town inputs'!$I$58,0))/I12,0)</x:f>
        <x:v>0.20426833544192716</x:v>
      </x:c>
      <x:c r="J43" s="51" t="n">
        <x:f>IF(J12&gt;0,(IF('Town inputs'!$G$26=2,J73*'Town inputs'!$I$45,0)+IF('Town inputs'!$G$27=2,J95*'Town inputs'!$I$46,0)+IF('Town inputs'!$G$28=2,J117*'Town inputs'!$I$47,0)+IF('Town inputs'!$G$29=2,J139*'Town inputs'!$I$48,0)+IF('Town inputs'!$G$30=2,J161*'Town inputs'!$I$49,0)+IF('Town inputs'!$G$31=2,J183*'Town inputs'!$I$50,0)+IF('Town inputs'!$G$32=2,J205*'Town inputs'!$I$51,0)+IF('Town inputs'!$G$33=2,J227*'Town inputs'!$I$52,0)+IF('Town inputs'!$G$34=2,J249*'Town inputs'!$I$53,0)+IF('Town inputs'!$G$35=2,J271*'Town inputs'!$I$54,0)+IF('Town inputs'!$G$36=2,J293*'Town inputs'!$I$55,0)+IF('Town inputs'!$G$37=2,J315*'Town inputs'!$I$56,0)+IF('Town inputs'!$G$38=2,J337*'Town inputs'!$I$57,0)+IF('Town inputs'!$G$39=2,J359*'Town inputs'!$I$58,0))/J12,0)</x:f>
        <x:v>0.22127532402850386</x:v>
      </x:c>
      <x:c r="K43" s="1"/>
      <x:c r="L43" s="1"/>
      <x:c r="M43" s="1"/>
    </x:row>
    <x:row r="44" ht="22" customHeight="1">
      <x:c r="A44" s="1"/>
      <x:c r="B44" s="1"/>
      <x:c r="C44" s="1" t="str">
        <x:v>Tier 2 / large property weight</x:v>
      </x:c>
      <x:c r="D44" s="51" t="n">
        <x:f>IF(D12&gt;0,(IF('Town inputs'!$G$26=2,D73*'Town inputs'!$H$26,0)+IF('Town inputs'!$G$27=2,D95*'Town inputs'!$H$27,0)+IF('Town inputs'!$G$28=2,D117*'Town inputs'!$H$28,0)+IF('Town inputs'!$G$29=2,D139*'Town inputs'!$H$29,0)+IF('Town inputs'!$G$30=2,D161*'Town inputs'!$H$30,0)+IF('Town inputs'!$G$31=2,D183*'Town inputs'!$H$31,0)+IF('Town inputs'!$G$32=2,D205*'Town inputs'!$H$32,0)+IF('Town inputs'!$G$33=2,D227*'Town inputs'!$H$33,0)+IF('Town inputs'!$G$34=2,D249*'Town inputs'!$H$34,0)+IF('Town inputs'!$G$35=2,D271*'Town inputs'!$H$35,0)+IF('Town inputs'!$G$36=2,D293*'Town inputs'!$H$36,0)+IF('Town inputs'!$G$37=2,D315*'Town inputs'!$H$37,0)+IF('Town inputs'!$G$38=2,D337*'Town inputs'!$H$38,0)+IF('Town inputs'!$G$39=2,D359*'Town inputs'!$H$39,0))/D12,0)</x:f>
        <x:v>0</x:v>
      </x:c>
      <x:c r="E44" s="51" t="n">
        <x:f>IF(E12&gt;0,(IF('Town inputs'!$G$26=2,E73*'Town inputs'!$H$26,0)+IF('Town inputs'!$G$27=2,E95*'Town inputs'!$H$27,0)+IF('Town inputs'!$G$28=2,E117*'Town inputs'!$H$28,0)+IF('Town inputs'!$G$29=2,E139*'Town inputs'!$H$29,0)+IF('Town inputs'!$G$30=2,E161*'Town inputs'!$H$30,0)+IF('Town inputs'!$G$31=2,E183*'Town inputs'!$H$31,0)+IF('Town inputs'!$G$32=2,E205*'Town inputs'!$H$32,0)+IF('Town inputs'!$G$33=2,E227*'Town inputs'!$H$33,0)+IF('Town inputs'!$G$34=2,E249*'Town inputs'!$H$34,0)+IF('Town inputs'!$G$35=2,E271*'Town inputs'!$H$35,0)+IF('Town inputs'!$G$36=2,E293*'Town inputs'!$H$36,0)+IF('Town inputs'!$G$37=2,E315*'Town inputs'!$H$37,0)+IF('Town inputs'!$G$38=2,E337*'Town inputs'!$H$38,0)+IF('Town inputs'!$G$39=2,E359*'Town inputs'!$H$39,0))/E12,0)</x:f>
        <x:v>0.0732801420872643</x:v>
      </x:c>
      <x:c r="F44" s="51" t="n">
        <x:f>IF(F12&gt;0,(IF('Town inputs'!$G$26=2,F73*'Town inputs'!$H$26,0)+IF('Town inputs'!$G$27=2,F95*'Town inputs'!$H$27,0)+IF('Town inputs'!$G$28=2,F117*'Town inputs'!$H$28,0)+IF('Town inputs'!$G$29=2,F139*'Town inputs'!$H$29,0)+IF('Town inputs'!$G$30=2,F161*'Town inputs'!$H$30,0)+IF('Town inputs'!$G$31=2,F183*'Town inputs'!$H$31,0)+IF('Town inputs'!$G$32=2,F205*'Town inputs'!$H$32,0)+IF('Town inputs'!$G$33=2,F227*'Town inputs'!$H$33,0)+IF('Town inputs'!$G$34=2,F249*'Town inputs'!$H$34,0)+IF('Town inputs'!$G$35=2,F271*'Town inputs'!$H$35,0)+IF('Town inputs'!$G$36=2,F293*'Town inputs'!$H$36,0)+IF('Town inputs'!$G$37=2,F315*'Town inputs'!$H$37,0)+IF('Town inputs'!$G$38=2,F337*'Town inputs'!$H$38,0)+IF('Town inputs'!$G$39=2,F359*'Town inputs'!$H$39,0))/F12,0)</x:f>
        <x:v>0.06993110611152453</x:v>
      </x:c>
      <x:c r="G44" s="51" t="n">
        <x:f>IF(G12&gt;0,(IF('Town inputs'!$G$26=2,G73*'Town inputs'!$H$26,0)+IF('Town inputs'!$G$27=2,G95*'Town inputs'!$H$27,0)+IF('Town inputs'!$G$28=2,G117*'Town inputs'!$H$28,0)+IF('Town inputs'!$G$29=2,G139*'Town inputs'!$H$29,0)+IF('Town inputs'!$G$30=2,G161*'Town inputs'!$H$30,0)+IF('Town inputs'!$G$31=2,G183*'Town inputs'!$H$31,0)+IF('Town inputs'!$G$32=2,G205*'Town inputs'!$H$32,0)+IF('Town inputs'!$G$33=2,G227*'Town inputs'!$H$33,0)+IF('Town inputs'!$G$34=2,G249*'Town inputs'!$H$34,0)+IF('Town inputs'!$G$35=2,G271*'Town inputs'!$H$35,0)+IF('Town inputs'!$G$36=2,G293*'Town inputs'!$H$36,0)+IF('Town inputs'!$G$37=2,G315*'Town inputs'!$H$37,0)+IF('Town inputs'!$G$38=2,G337*'Town inputs'!$H$38,0)+IF('Town inputs'!$G$39=2,G359*'Town inputs'!$H$39,0))/G12,0)</x:f>
        <x:v>0.08003159798068053</x:v>
      </x:c>
      <x:c r="H44" s="51" t="n">
        <x:f>IF(H12&gt;0,(IF('Town inputs'!$G$26=2,H73*'Town inputs'!$H$26,0)+IF('Town inputs'!$G$27=2,H95*'Town inputs'!$H$27,0)+IF('Town inputs'!$G$28=2,H117*'Town inputs'!$H$28,0)+IF('Town inputs'!$G$29=2,H139*'Town inputs'!$H$29,0)+IF('Town inputs'!$G$30=2,H161*'Town inputs'!$H$30,0)+IF('Town inputs'!$G$31=2,H183*'Town inputs'!$H$31,0)+IF('Town inputs'!$G$32=2,H205*'Town inputs'!$H$32,0)+IF('Town inputs'!$G$33=2,H227*'Town inputs'!$H$33,0)+IF('Town inputs'!$G$34=2,H249*'Town inputs'!$H$34,0)+IF('Town inputs'!$G$35=2,H271*'Town inputs'!$H$35,0)+IF('Town inputs'!$G$36=2,H293*'Town inputs'!$H$36,0)+IF('Town inputs'!$G$37=2,H315*'Town inputs'!$H$37,0)+IF('Town inputs'!$G$38=2,H337*'Town inputs'!$H$38,0)+IF('Town inputs'!$G$39=2,H359*'Town inputs'!$H$39,0))/H12,0)</x:f>
        <x:v>0.10558665855644189</x:v>
      </x:c>
      <x:c r="I44" s="51" t="n">
        <x:f>IF(I12&gt;0,(IF('Town inputs'!$G$26=2,I73*'Town inputs'!$H$26,0)+IF('Town inputs'!$G$27=2,I95*'Town inputs'!$H$27,0)+IF('Town inputs'!$G$28=2,I117*'Town inputs'!$H$28,0)+IF('Town inputs'!$G$29=2,I139*'Town inputs'!$H$29,0)+IF('Town inputs'!$G$30=2,I161*'Town inputs'!$H$30,0)+IF('Town inputs'!$G$31=2,I183*'Town inputs'!$H$31,0)+IF('Town inputs'!$G$32=2,I205*'Town inputs'!$H$32,0)+IF('Town inputs'!$G$33=2,I227*'Town inputs'!$H$33,0)+IF('Town inputs'!$G$34=2,I249*'Town inputs'!$H$34,0)+IF('Town inputs'!$G$35=2,I271*'Town inputs'!$H$35,0)+IF('Town inputs'!$G$36=2,I293*'Town inputs'!$H$36,0)+IF('Town inputs'!$G$37=2,I315*'Town inputs'!$H$37,0)+IF('Town inputs'!$G$38=2,I337*'Town inputs'!$H$38,0)+IF('Town inputs'!$G$39=2,I359*'Town inputs'!$H$39,0))/I12,0)</x:f>
        <x:v>0.1294230004515526</x:v>
      </x:c>
      <x:c r="J44" s="51" t="n">
        <x:f>IF(J12&gt;0,(IF('Town inputs'!$G$26=2,J73*'Town inputs'!$H$26,0)+IF('Town inputs'!$G$27=2,J95*'Town inputs'!$H$27,0)+IF('Town inputs'!$G$28=2,J117*'Town inputs'!$H$28,0)+IF('Town inputs'!$G$29=2,J139*'Town inputs'!$H$29,0)+IF('Town inputs'!$G$30=2,J161*'Town inputs'!$H$30,0)+IF('Town inputs'!$G$31=2,J183*'Town inputs'!$H$31,0)+IF('Town inputs'!$G$32=2,J205*'Town inputs'!$H$32,0)+IF('Town inputs'!$G$33=2,J227*'Town inputs'!$H$33,0)+IF('Town inputs'!$G$34=2,J249*'Town inputs'!$H$34,0)+IF('Town inputs'!$G$35=2,J271*'Town inputs'!$H$35,0)+IF('Town inputs'!$G$36=2,J293*'Town inputs'!$H$36,0)+IF('Town inputs'!$G$37=2,J315*'Town inputs'!$H$37,0)+IF('Town inputs'!$G$38=2,J337*'Town inputs'!$H$38,0)+IF('Town inputs'!$G$39=2,J359*'Town inputs'!$H$39,0))/J12,0)</x:f>
        <x:v>0.14333472619980214</x:v>
      </x:c>
      <x:c r="K44" s="1"/>
      <x:c r="L44" s="1"/>
      <x:c r="M44" s="1"/>
    </x:row>
    <x:row r="45" ht="22" customHeight="1">
      <x:c r="A45" s="1"/>
      <x:c r="B45" s="1"/>
      <x:c r="C45" s="1" t="str">
        <x:v>Tier 2 / very large property weight</x:v>
      </x:c>
      <x:c r="D45" s="51" t="n">
        <x:f>IF(D12&gt;0,(IF('Town inputs'!$G$26=2,D73*'Town inputs'!$I$26,0)+IF('Town inputs'!$G$27=2,D95*'Town inputs'!$I$27,0)+IF('Town inputs'!$G$28=2,D117*'Town inputs'!$I$28,0)+IF('Town inputs'!$G$29=2,D139*'Town inputs'!$I$29,0)+IF('Town inputs'!$G$30=2,D161*'Town inputs'!$I$30,0)+IF('Town inputs'!$G$31=2,D183*'Town inputs'!$I$31,0)+IF('Town inputs'!$G$32=2,D205*'Town inputs'!$I$32,0)+IF('Town inputs'!$G$33=2,D227*'Town inputs'!$I$33,0)+IF('Town inputs'!$G$34=2,D249*'Town inputs'!$I$34,0)+IF('Town inputs'!$G$35=2,D271*'Town inputs'!$I$35,0)+IF('Town inputs'!$G$36=2,D293*'Town inputs'!$I$36,0)+IF('Town inputs'!$G$37=2,D315*'Town inputs'!$I$37,0)+IF('Town inputs'!$G$38=2,D337*'Town inputs'!$I$38,0)+IF('Town inputs'!$G$39=2,D359*'Town inputs'!$I$39,0))/D12,0)</x:f>
        <x:v>0</x:v>
      </x:c>
      <x:c r="E45" s="51" t="n">
        <x:f>IF(E12&gt;0,(IF('Town inputs'!$G$26=2,E73*'Town inputs'!$I$26,0)+IF('Town inputs'!$G$27=2,E95*'Town inputs'!$I$27,0)+IF('Town inputs'!$G$28=2,E117*'Town inputs'!$I$28,0)+IF('Town inputs'!$G$29=2,E139*'Town inputs'!$I$29,0)+IF('Town inputs'!$G$30=2,E161*'Town inputs'!$I$30,0)+IF('Town inputs'!$G$31=2,E183*'Town inputs'!$I$31,0)+IF('Town inputs'!$G$32=2,E205*'Town inputs'!$I$32,0)+IF('Town inputs'!$G$33=2,E227*'Town inputs'!$I$33,0)+IF('Town inputs'!$G$34=2,E249*'Town inputs'!$I$34,0)+IF('Town inputs'!$G$35=2,E271*'Town inputs'!$I$35,0)+IF('Town inputs'!$G$36=2,E293*'Town inputs'!$I$36,0)+IF('Town inputs'!$G$37=2,E315*'Town inputs'!$I$37,0)+IF('Town inputs'!$G$38=2,E337*'Town inputs'!$I$38,0)+IF('Town inputs'!$G$39=2,E359*'Town inputs'!$I$39,0))/E12,0)</x:f>
        <x:v>0.01221335701454405</x:v>
      </x:c>
      <x:c r="F45" s="51" t="n">
        <x:f>IF(F12&gt;0,(IF('Town inputs'!$G$26=2,F73*'Town inputs'!$I$26,0)+IF('Town inputs'!$G$27=2,F95*'Town inputs'!$I$27,0)+IF('Town inputs'!$G$28=2,F117*'Town inputs'!$I$28,0)+IF('Town inputs'!$G$29=2,F139*'Town inputs'!$I$29,0)+IF('Town inputs'!$G$30=2,F161*'Town inputs'!$I$30,0)+IF('Town inputs'!$G$31=2,F183*'Town inputs'!$I$31,0)+IF('Town inputs'!$G$32=2,F205*'Town inputs'!$I$32,0)+IF('Town inputs'!$G$33=2,F227*'Town inputs'!$I$33,0)+IF('Town inputs'!$G$34=2,F249*'Town inputs'!$I$34,0)+IF('Town inputs'!$G$35=2,F271*'Town inputs'!$I$35,0)+IF('Town inputs'!$G$36=2,F293*'Town inputs'!$I$36,0)+IF('Town inputs'!$G$37=2,F315*'Town inputs'!$I$37,0)+IF('Town inputs'!$G$38=2,F337*'Town inputs'!$I$38,0)+IF('Town inputs'!$G$39=2,F359*'Town inputs'!$I$39,0))/F12,0)</x:f>
        <x:v>0.011655184351920755</x:v>
      </x:c>
      <x:c r="G45" s="51" t="n">
        <x:f>IF(G12&gt;0,(IF('Town inputs'!$G$26=2,G73*'Town inputs'!$I$26,0)+IF('Town inputs'!$G$27=2,G95*'Town inputs'!$I$27,0)+IF('Town inputs'!$G$28=2,G117*'Town inputs'!$I$28,0)+IF('Town inputs'!$G$29=2,G139*'Town inputs'!$I$29,0)+IF('Town inputs'!$G$30=2,G161*'Town inputs'!$I$30,0)+IF('Town inputs'!$G$31=2,G183*'Town inputs'!$I$31,0)+IF('Town inputs'!$G$32=2,G205*'Town inputs'!$I$32,0)+IF('Town inputs'!$G$33=2,G227*'Town inputs'!$I$33,0)+IF('Town inputs'!$G$34=2,G249*'Town inputs'!$I$34,0)+IF('Town inputs'!$G$35=2,G271*'Town inputs'!$I$35,0)+IF('Town inputs'!$G$36=2,G293*'Town inputs'!$I$36,0)+IF('Town inputs'!$G$37=2,G315*'Town inputs'!$I$37,0)+IF('Town inputs'!$G$38=2,G337*'Town inputs'!$I$38,0)+IF('Town inputs'!$G$39=2,G359*'Town inputs'!$I$39,0))/G12,0)</x:f>
        <x:v>0.018421907462016406</x:v>
      </x:c>
      <x:c r="H45" s="51" t="n">
        <x:f>IF(H12&gt;0,(IF('Town inputs'!$G$26=2,H73*'Town inputs'!$I$26,0)+IF('Town inputs'!$G$27=2,H95*'Town inputs'!$I$27,0)+IF('Town inputs'!$G$28=2,H117*'Town inputs'!$I$28,0)+IF('Town inputs'!$G$29=2,H139*'Town inputs'!$I$29,0)+IF('Town inputs'!$G$30=2,H161*'Town inputs'!$I$30,0)+IF('Town inputs'!$G$31=2,H183*'Town inputs'!$I$31,0)+IF('Town inputs'!$G$32=2,H205*'Town inputs'!$I$32,0)+IF('Town inputs'!$G$33=2,H227*'Town inputs'!$I$33,0)+IF('Town inputs'!$G$34=2,H249*'Town inputs'!$I$34,0)+IF('Town inputs'!$G$35=2,H271*'Town inputs'!$I$35,0)+IF('Town inputs'!$G$36=2,H293*'Town inputs'!$I$36,0)+IF('Town inputs'!$G$37=2,H315*'Town inputs'!$I$37,0)+IF('Town inputs'!$G$38=2,H337*'Town inputs'!$I$38,0)+IF('Town inputs'!$G$39=2,H359*'Town inputs'!$I$39,0))/H12,0)</x:f>
        <x:v>0.02936135760945111</x:v>
      </x:c>
      <x:c r="I45" s="51" t="n">
        <x:f>IF(I12&gt;0,(IF('Town inputs'!$G$26=2,I73*'Town inputs'!$I$26,0)+IF('Town inputs'!$G$27=2,I95*'Town inputs'!$I$27,0)+IF('Town inputs'!$G$28=2,I117*'Town inputs'!$I$28,0)+IF('Town inputs'!$G$29=2,I139*'Town inputs'!$I$29,0)+IF('Town inputs'!$G$30=2,I161*'Town inputs'!$I$30,0)+IF('Town inputs'!$G$31=2,I183*'Town inputs'!$I$31,0)+IF('Town inputs'!$G$32=2,I205*'Town inputs'!$I$32,0)+IF('Town inputs'!$G$33=2,I227*'Town inputs'!$I$33,0)+IF('Town inputs'!$G$34=2,I249*'Town inputs'!$I$34,0)+IF('Town inputs'!$G$35=2,I271*'Town inputs'!$I$35,0)+IF('Town inputs'!$G$36=2,I293*'Town inputs'!$I$36,0)+IF('Town inputs'!$G$37=2,I315*'Town inputs'!$I$37,0)+IF('Town inputs'!$G$38=2,I337*'Town inputs'!$I$38,0)+IF('Town inputs'!$G$39=2,I359*'Town inputs'!$I$39,0))/I12,0)</x:f>
        <x:v>0.038372017378980224</x:v>
      </x:c>
      <x:c r="J45" s="51" t="n">
        <x:f>IF(J12&gt;0,(IF('Town inputs'!$G$26=2,J73*'Town inputs'!$I$26,0)+IF('Town inputs'!$G$27=2,J95*'Town inputs'!$I$27,0)+IF('Town inputs'!$G$28=2,J117*'Town inputs'!$I$28,0)+IF('Town inputs'!$G$29=2,J139*'Town inputs'!$I$29,0)+IF('Town inputs'!$G$30=2,J161*'Town inputs'!$I$30,0)+IF('Town inputs'!$G$31=2,J183*'Town inputs'!$I$31,0)+IF('Town inputs'!$G$32=2,J205*'Town inputs'!$I$32,0)+IF('Town inputs'!$G$33=2,J227*'Town inputs'!$I$33,0)+IF('Town inputs'!$G$34=2,J249*'Town inputs'!$I$34,0)+IF('Town inputs'!$G$35=2,J271*'Town inputs'!$I$35,0)+IF('Town inputs'!$G$36=2,J293*'Town inputs'!$I$36,0)+IF('Town inputs'!$G$37=2,J315*'Town inputs'!$I$37,0)+IF('Town inputs'!$G$38=2,J337*'Town inputs'!$I$38,0)+IF('Town inputs'!$G$39=2,J359*'Town inputs'!$I$39,0))/J12,0)</x:f>
        <x:v>0.04363702960389058</x:v>
      </x:c>
      <x:c r="K45" s="1"/>
      <x:c r="L45" s="1"/>
      <x:c r="M45" s="1"/>
    </x:row>
    <x:row r="46" ht="22" customHeight="1">
      <x:c r="A46" s="1"/>
      <x:c r="B46" s="1"/>
      <x:c r="C46" s="1" t="str">
        <x:v>Tier 3 / typical property weight</x:v>
      </x:c>
      <x:c r="D46" s="51" t="n">
        <x:f>IF(D12&gt;0,(IF('Town inputs'!$G$26=3,D73*'Town inputs'!$I$45,0)+IF('Town inputs'!$G$27=3,D95*'Town inputs'!$I$46,0)+IF('Town inputs'!$G$28=3,D117*'Town inputs'!$I$47,0)+IF('Town inputs'!$G$29=3,D139*'Town inputs'!$I$48,0)+IF('Town inputs'!$G$30=3,D161*'Town inputs'!$I$49,0)+IF('Town inputs'!$G$31=3,D183*'Town inputs'!$I$50,0)+IF('Town inputs'!$G$32=3,D205*'Town inputs'!$I$51,0)+IF('Town inputs'!$G$33=3,D227*'Town inputs'!$I$52,0)+IF('Town inputs'!$G$34=3,D249*'Town inputs'!$I$53,0)+IF('Town inputs'!$G$35=3,D271*'Town inputs'!$I$54,0)+IF('Town inputs'!$G$36=3,D293*'Town inputs'!$I$55,0)+IF('Town inputs'!$G$37=3,D315*'Town inputs'!$I$56,0)+IF('Town inputs'!$G$38=3,D337*'Town inputs'!$I$57,0)+IF('Town inputs'!$G$39=3,D359*'Town inputs'!$I$58,0))/D12,0)</x:f>
        <x:v>0</x:v>
      </x:c>
      <x:c r="E46" s="51" t="n">
        <x:f>IF(E12&gt;0,(IF('Town inputs'!$G$26=3,E73*'Town inputs'!$I$45,0)+IF('Town inputs'!$G$27=3,E95*'Town inputs'!$I$46,0)+IF('Town inputs'!$G$28=3,E117*'Town inputs'!$I$47,0)+IF('Town inputs'!$G$29=3,E139*'Town inputs'!$I$48,0)+IF('Town inputs'!$G$30=3,E161*'Town inputs'!$I$49,0)+IF('Town inputs'!$G$31=3,E183*'Town inputs'!$I$50,0)+IF('Town inputs'!$G$32=3,E205*'Town inputs'!$I$51,0)+IF('Town inputs'!$G$33=3,E227*'Town inputs'!$I$52,0)+IF('Town inputs'!$G$34=3,E249*'Town inputs'!$I$53,0)+IF('Town inputs'!$G$35=3,E271*'Town inputs'!$I$54,0)+IF('Town inputs'!$G$36=3,E293*'Town inputs'!$I$55,0)+IF('Town inputs'!$G$37=3,E315*'Town inputs'!$I$56,0)+IF('Town inputs'!$G$38=3,E337*'Town inputs'!$I$57,0)+IF('Town inputs'!$G$39=3,E359*'Town inputs'!$I$58,0))/E12,0)</x:f>
        <x:v>0</x:v>
      </x:c>
      <x:c r="F46" s="51" t="n">
        <x:f>IF(F12&gt;0,(IF('Town inputs'!$G$26=3,F73*'Town inputs'!$I$45,0)+IF('Town inputs'!$G$27=3,F95*'Town inputs'!$I$46,0)+IF('Town inputs'!$G$28=3,F117*'Town inputs'!$I$47,0)+IF('Town inputs'!$G$29=3,F139*'Town inputs'!$I$48,0)+IF('Town inputs'!$G$30=3,F161*'Town inputs'!$I$49,0)+IF('Town inputs'!$G$31=3,F183*'Town inputs'!$I$50,0)+IF('Town inputs'!$G$32=3,F205*'Town inputs'!$I$51,0)+IF('Town inputs'!$G$33=3,F227*'Town inputs'!$I$52,0)+IF('Town inputs'!$G$34=3,F249*'Town inputs'!$I$53,0)+IF('Town inputs'!$G$35=3,F271*'Town inputs'!$I$54,0)+IF('Town inputs'!$G$36=3,F293*'Town inputs'!$I$55,0)+IF('Town inputs'!$G$37=3,F315*'Town inputs'!$I$56,0)+IF('Town inputs'!$G$38=3,F337*'Town inputs'!$I$57,0)+IF('Town inputs'!$G$39=3,F359*'Town inputs'!$I$58,0))/F12,0)</x:f>
        <x:v>0</x:v>
      </x:c>
      <x:c r="G46" s="51" t="n">
        <x:f>IF(G12&gt;0,(IF('Town inputs'!$G$26=3,G73*'Town inputs'!$I$45,0)+IF('Town inputs'!$G$27=3,G95*'Town inputs'!$I$46,0)+IF('Town inputs'!$G$28=3,G117*'Town inputs'!$I$47,0)+IF('Town inputs'!$G$29=3,G139*'Town inputs'!$I$48,0)+IF('Town inputs'!$G$30=3,G161*'Town inputs'!$I$49,0)+IF('Town inputs'!$G$31=3,G183*'Town inputs'!$I$50,0)+IF('Town inputs'!$G$32=3,G205*'Town inputs'!$I$51,0)+IF('Town inputs'!$G$33=3,G227*'Town inputs'!$I$52,0)+IF('Town inputs'!$G$34=3,G249*'Town inputs'!$I$53,0)+IF('Town inputs'!$G$35=3,G271*'Town inputs'!$I$54,0)+IF('Town inputs'!$G$36=3,G293*'Town inputs'!$I$55,0)+IF('Town inputs'!$G$37=3,G315*'Town inputs'!$I$56,0)+IF('Town inputs'!$G$38=3,G337*'Town inputs'!$I$57,0)+IF('Town inputs'!$G$39=3,G359*'Town inputs'!$I$58,0))/G12,0)</x:f>
        <x:v>0</x:v>
      </x:c>
      <x:c r="H46" s="51" t="n">
        <x:f>IF(H12&gt;0,(IF('Town inputs'!$G$26=3,H73*'Town inputs'!$I$45,0)+IF('Town inputs'!$G$27=3,H95*'Town inputs'!$I$46,0)+IF('Town inputs'!$G$28=3,H117*'Town inputs'!$I$47,0)+IF('Town inputs'!$G$29=3,H139*'Town inputs'!$I$48,0)+IF('Town inputs'!$G$30=3,H161*'Town inputs'!$I$49,0)+IF('Town inputs'!$G$31=3,H183*'Town inputs'!$I$50,0)+IF('Town inputs'!$G$32=3,H205*'Town inputs'!$I$51,0)+IF('Town inputs'!$G$33=3,H227*'Town inputs'!$I$52,0)+IF('Town inputs'!$G$34=3,H249*'Town inputs'!$I$53,0)+IF('Town inputs'!$G$35=3,H271*'Town inputs'!$I$54,0)+IF('Town inputs'!$G$36=3,H293*'Town inputs'!$I$55,0)+IF('Town inputs'!$G$37=3,H315*'Town inputs'!$I$56,0)+IF('Town inputs'!$G$38=3,H337*'Town inputs'!$I$57,0)+IF('Town inputs'!$G$39=3,H359*'Town inputs'!$I$58,0))/H12,0)</x:f>
        <x:v>0</x:v>
      </x:c>
      <x:c r="I46" s="51" t="n">
        <x:f>IF(I12&gt;0,(IF('Town inputs'!$G$26=3,I73*'Town inputs'!$I$45,0)+IF('Town inputs'!$G$27=3,I95*'Town inputs'!$I$46,0)+IF('Town inputs'!$G$28=3,I117*'Town inputs'!$I$47,0)+IF('Town inputs'!$G$29=3,I139*'Town inputs'!$I$48,0)+IF('Town inputs'!$G$30=3,I161*'Town inputs'!$I$49,0)+IF('Town inputs'!$G$31=3,I183*'Town inputs'!$I$50,0)+IF('Town inputs'!$G$32=3,I205*'Town inputs'!$I$51,0)+IF('Town inputs'!$G$33=3,I227*'Town inputs'!$I$52,0)+IF('Town inputs'!$G$34=3,I249*'Town inputs'!$I$53,0)+IF('Town inputs'!$G$35=3,I271*'Town inputs'!$I$54,0)+IF('Town inputs'!$G$36=3,I293*'Town inputs'!$I$55,0)+IF('Town inputs'!$G$37=3,I315*'Town inputs'!$I$56,0)+IF('Town inputs'!$G$38=3,I337*'Town inputs'!$I$57,0)+IF('Town inputs'!$G$39=3,I359*'Town inputs'!$I$58,0))/I12,0)</x:f>
        <x:v>0.0042104040975912945</x:v>
      </x:c>
      <x:c r="J46" s="51" t="n">
        <x:f>IF(J12&gt;0,(IF('Town inputs'!$G$26=3,J73*'Town inputs'!$I$45,0)+IF('Town inputs'!$G$27=3,J95*'Town inputs'!$I$46,0)+IF('Town inputs'!$G$28=3,J117*'Town inputs'!$I$47,0)+IF('Town inputs'!$G$29=3,J139*'Town inputs'!$I$48,0)+IF('Town inputs'!$G$30=3,J161*'Town inputs'!$I$49,0)+IF('Town inputs'!$G$31=3,J183*'Town inputs'!$I$50,0)+IF('Town inputs'!$G$32=3,J205*'Town inputs'!$I$51,0)+IF('Town inputs'!$G$33=3,J227*'Town inputs'!$I$52,0)+IF('Town inputs'!$G$34=3,J249*'Town inputs'!$I$53,0)+IF('Town inputs'!$G$35=3,J271*'Town inputs'!$I$54,0)+IF('Town inputs'!$G$36=3,J293*'Town inputs'!$I$55,0)+IF('Town inputs'!$G$37=3,J315*'Town inputs'!$I$56,0)+IF('Town inputs'!$G$38=3,J337*'Town inputs'!$I$57,0)+IF('Town inputs'!$G$39=3,J359*'Town inputs'!$I$58,0))/J12,0)</x:f>
        <x:v>0.011460411318474494</x:v>
      </x:c>
      <x:c r="K46" s="1"/>
      <x:c r="L46" s="1"/>
      <x:c r="M46" s="1"/>
    </x:row>
    <x:row r="47" ht="22" customHeight="1">
      <x:c r="A47" s="1"/>
      <x:c r="B47" s="1"/>
      <x:c r="C47" s="1" t="str">
        <x:v>Tier 3 / large property weight</x:v>
      </x:c>
      <x:c r="D47" s="51" t="n">
        <x:f>IF(D12&gt;0,(IF('Town inputs'!$G$26=3,D73*'Town inputs'!$H$26,0)+IF('Town inputs'!$G$27=3,D95*'Town inputs'!$H$27,0)+IF('Town inputs'!$G$28=3,D117*'Town inputs'!$H$28,0)+IF('Town inputs'!$G$29=3,D139*'Town inputs'!$H$29,0)+IF('Town inputs'!$G$30=3,D161*'Town inputs'!$H$30,0)+IF('Town inputs'!$G$31=3,D183*'Town inputs'!$H$31,0)+IF('Town inputs'!$G$32=3,D205*'Town inputs'!$H$32,0)+IF('Town inputs'!$G$33=3,D227*'Town inputs'!$H$33,0)+IF('Town inputs'!$G$34=3,D249*'Town inputs'!$H$34,0)+IF('Town inputs'!$G$35=3,D271*'Town inputs'!$H$35,0)+IF('Town inputs'!$G$36=3,D293*'Town inputs'!$H$36,0)+IF('Town inputs'!$G$37=3,D315*'Town inputs'!$H$37,0)+IF('Town inputs'!$G$38=3,D337*'Town inputs'!$H$38,0)+IF('Town inputs'!$G$39=3,D359*'Town inputs'!$H$39,0))/D12,0)</x:f>
        <x:v>0</x:v>
      </x:c>
      <x:c r="E47" s="51" t="n">
        <x:f>IF(E12&gt;0,(IF('Town inputs'!$G$26=3,E73*'Town inputs'!$H$26,0)+IF('Town inputs'!$G$27=3,E95*'Town inputs'!$H$27,0)+IF('Town inputs'!$G$28=3,E117*'Town inputs'!$H$28,0)+IF('Town inputs'!$G$29=3,E139*'Town inputs'!$H$29,0)+IF('Town inputs'!$G$30=3,E161*'Town inputs'!$H$30,0)+IF('Town inputs'!$G$31=3,E183*'Town inputs'!$H$31,0)+IF('Town inputs'!$G$32=3,E205*'Town inputs'!$H$32,0)+IF('Town inputs'!$G$33=3,E227*'Town inputs'!$H$33,0)+IF('Town inputs'!$G$34=3,E249*'Town inputs'!$H$34,0)+IF('Town inputs'!$G$35=3,E271*'Town inputs'!$H$35,0)+IF('Town inputs'!$G$36=3,E293*'Town inputs'!$H$36,0)+IF('Town inputs'!$G$37=3,E315*'Town inputs'!$H$37,0)+IF('Town inputs'!$G$38=3,E337*'Town inputs'!$H$38,0)+IF('Town inputs'!$G$39=3,E359*'Town inputs'!$H$39,0))/E12,0)</x:f>
        <x:v>0</x:v>
      </x:c>
      <x:c r="F47" s="51" t="n">
        <x:f>IF(F12&gt;0,(IF('Town inputs'!$G$26=3,F73*'Town inputs'!$H$26,0)+IF('Town inputs'!$G$27=3,F95*'Town inputs'!$H$27,0)+IF('Town inputs'!$G$28=3,F117*'Town inputs'!$H$28,0)+IF('Town inputs'!$G$29=3,F139*'Town inputs'!$H$29,0)+IF('Town inputs'!$G$30=3,F161*'Town inputs'!$H$30,0)+IF('Town inputs'!$G$31=3,F183*'Town inputs'!$H$31,0)+IF('Town inputs'!$G$32=3,F205*'Town inputs'!$H$32,0)+IF('Town inputs'!$G$33=3,F227*'Town inputs'!$H$33,0)+IF('Town inputs'!$G$34=3,F249*'Town inputs'!$H$34,0)+IF('Town inputs'!$G$35=3,F271*'Town inputs'!$H$35,0)+IF('Town inputs'!$G$36=3,F293*'Town inputs'!$H$36,0)+IF('Town inputs'!$G$37=3,F315*'Town inputs'!$H$37,0)+IF('Town inputs'!$G$38=3,F337*'Town inputs'!$H$38,0)+IF('Town inputs'!$G$39=3,F359*'Town inputs'!$H$39,0))/F12,0)</x:f>
        <x:v>0</x:v>
      </x:c>
      <x:c r="G47" s="51" t="n">
        <x:f>IF(G12&gt;0,(IF('Town inputs'!$G$26=3,G73*'Town inputs'!$H$26,0)+IF('Town inputs'!$G$27=3,G95*'Town inputs'!$H$27,0)+IF('Town inputs'!$G$28=3,G117*'Town inputs'!$H$28,0)+IF('Town inputs'!$G$29=3,G139*'Town inputs'!$H$29,0)+IF('Town inputs'!$G$30=3,G161*'Town inputs'!$H$30,0)+IF('Town inputs'!$G$31=3,G183*'Town inputs'!$H$31,0)+IF('Town inputs'!$G$32=3,G205*'Town inputs'!$H$32,0)+IF('Town inputs'!$G$33=3,G227*'Town inputs'!$H$33,0)+IF('Town inputs'!$G$34=3,G249*'Town inputs'!$H$34,0)+IF('Town inputs'!$G$35=3,G271*'Town inputs'!$H$35,0)+IF('Town inputs'!$G$36=3,G293*'Town inputs'!$H$36,0)+IF('Town inputs'!$G$37=3,G315*'Town inputs'!$H$37,0)+IF('Town inputs'!$G$38=3,G337*'Town inputs'!$H$38,0)+IF('Town inputs'!$G$39=3,G359*'Town inputs'!$H$39,0))/G12,0)</x:f>
        <x:v>0</x:v>
      </x:c>
      <x:c r="H47" s="51" t="n">
        <x:f>IF(H12&gt;0,(IF('Town inputs'!$G$26=3,H73*'Town inputs'!$H$26,0)+IF('Town inputs'!$G$27=3,H95*'Town inputs'!$H$27,0)+IF('Town inputs'!$G$28=3,H117*'Town inputs'!$H$28,0)+IF('Town inputs'!$G$29=3,H139*'Town inputs'!$H$29,0)+IF('Town inputs'!$G$30=3,H161*'Town inputs'!$H$30,0)+IF('Town inputs'!$G$31=3,H183*'Town inputs'!$H$31,0)+IF('Town inputs'!$G$32=3,H205*'Town inputs'!$H$32,0)+IF('Town inputs'!$G$33=3,H227*'Town inputs'!$H$33,0)+IF('Town inputs'!$G$34=3,H249*'Town inputs'!$H$34,0)+IF('Town inputs'!$G$35=3,H271*'Town inputs'!$H$35,0)+IF('Town inputs'!$G$36=3,H293*'Town inputs'!$H$36,0)+IF('Town inputs'!$G$37=3,H315*'Town inputs'!$H$37,0)+IF('Town inputs'!$G$38=3,H337*'Town inputs'!$H$38,0)+IF('Town inputs'!$G$39=3,H359*'Town inputs'!$H$39,0))/H12,0)</x:f>
        <x:v>0</x:v>
      </x:c>
      <x:c r="I47" s="51" t="n">
        <x:f>IF(I12&gt;0,(IF('Town inputs'!$G$26=3,I73*'Town inputs'!$H$26,0)+IF('Town inputs'!$G$27=3,I95*'Town inputs'!$H$27,0)+IF('Town inputs'!$G$28=3,I117*'Town inputs'!$H$28,0)+IF('Town inputs'!$G$29=3,I139*'Town inputs'!$H$29,0)+IF('Town inputs'!$G$30=3,I161*'Town inputs'!$H$30,0)+IF('Town inputs'!$G$31=3,I183*'Town inputs'!$H$31,0)+IF('Town inputs'!$G$32=3,I205*'Town inputs'!$H$32,0)+IF('Town inputs'!$G$33=3,I227*'Town inputs'!$H$33,0)+IF('Town inputs'!$G$34=3,I249*'Town inputs'!$H$34,0)+IF('Town inputs'!$G$35=3,I271*'Town inputs'!$H$35,0)+IF('Town inputs'!$G$36=3,I293*'Town inputs'!$H$36,0)+IF('Town inputs'!$G$37=3,I315*'Town inputs'!$H$37,0)+IF('Town inputs'!$G$38=3,I337*'Town inputs'!$H$38,0)+IF('Town inputs'!$G$39=3,I359*'Town inputs'!$H$39,0))/I12,0)</x:f>
        <x:v>0.0048118903972471936</x:v>
      </x:c>
      <x:c r="J47" s="51" t="n">
        <x:f>IF(J12&gt;0,(IF('Town inputs'!$G$26=3,J73*'Town inputs'!$H$26,0)+IF('Town inputs'!$G$27=3,J95*'Town inputs'!$H$27,0)+IF('Town inputs'!$G$28=3,J117*'Town inputs'!$H$28,0)+IF('Town inputs'!$G$29=3,J139*'Town inputs'!$H$29,0)+IF('Town inputs'!$G$30=3,J161*'Town inputs'!$H$30,0)+IF('Town inputs'!$G$31=3,J183*'Town inputs'!$H$31,0)+IF('Town inputs'!$G$32=3,J205*'Town inputs'!$H$32,0)+IF('Town inputs'!$G$33=3,J227*'Town inputs'!$H$33,0)+IF('Town inputs'!$G$34=3,J249*'Town inputs'!$H$34,0)+IF('Town inputs'!$G$35=3,J271*'Town inputs'!$H$35,0)+IF('Town inputs'!$G$36=3,J293*'Town inputs'!$H$36,0)+IF('Town inputs'!$G$37=3,J315*'Town inputs'!$H$37,0)+IF('Town inputs'!$G$38=3,J337*'Town inputs'!$H$38,0)+IF('Town inputs'!$G$39=3,J359*'Town inputs'!$H$39,0))/J12,0)</x:f>
        <x:v>0.01390163961552658</x:v>
      </x:c>
      <x:c r="K47" s="1"/>
      <x:c r="L47" s="1"/>
      <x:c r="M47" s="1"/>
    </x:row>
    <x:row r="48" ht="22" customHeight="1">
      <x:c r="A48" s="1"/>
      <x:c r="B48" s="1"/>
      <x:c r="C48" s="1" t="str">
        <x:v>Tier 3 / very large property weight</x:v>
      </x:c>
      <x:c r="D48" s="51" t="n">
        <x:f>IF(D12&gt;0,(IF('Town inputs'!$G$26=3,D73*'Town inputs'!$I$26,0)+IF('Town inputs'!$G$27=3,D95*'Town inputs'!$I$27,0)+IF('Town inputs'!$G$28=3,D117*'Town inputs'!$I$28,0)+IF('Town inputs'!$G$29=3,D139*'Town inputs'!$I$29,0)+IF('Town inputs'!$G$30=3,D161*'Town inputs'!$I$30,0)+IF('Town inputs'!$G$31=3,D183*'Town inputs'!$I$31,0)+IF('Town inputs'!$G$32=3,D205*'Town inputs'!$I$32,0)+IF('Town inputs'!$G$33=3,D227*'Town inputs'!$I$33,0)+IF('Town inputs'!$G$34=3,D249*'Town inputs'!$I$34,0)+IF('Town inputs'!$G$35=3,D271*'Town inputs'!$I$35,0)+IF('Town inputs'!$G$36=3,D293*'Town inputs'!$I$36,0)+IF('Town inputs'!$G$37=3,D315*'Town inputs'!$I$37,0)+IF('Town inputs'!$G$38=3,D337*'Town inputs'!$I$38,0)+IF('Town inputs'!$G$39=3,D359*'Town inputs'!$I$39,0))/D12,0)</x:f>
        <x:v>0</x:v>
      </x:c>
      <x:c r="E48" s="51" t="n">
        <x:f>IF(E12&gt;0,(IF('Town inputs'!$G$26=3,E73*'Town inputs'!$I$26,0)+IF('Town inputs'!$G$27=3,E95*'Town inputs'!$I$27,0)+IF('Town inputs'!$G$28=3,E117*'Town inputs'!$I$28,0)+IF('Town inputs'!$G$29=3,E139*'Town inputs'!$I$29,0)+IF('Town inputs'!$G$30=3,E161*'Town inputs'!$I$30,0)+IF('Town inputs'!$G$31=3,E183*'Town inputs'!$I$31,0)+IF('Town inputs'!$G$32=3,E205*'Town inputs'!$I$32,0)+IF('Town inputs'!$G$33=3,E227*'Town inputs'!$I$33,0)+IF('Town inputs'!$G$34=3,E249*'Town inputs'!$I$34,0)+IF('Town inputs'!$G$35=3,E271*'Town inputs'!$I$35,0)+IF('Town inputs'!$G$36=3,E293*'Town inputs'!$I$36,0)+IF('Town inputs'!$G$37=3,E315*'Town inputs'!$I$37,0)+IF('Town inputs'!$G$38=3,E337*'Town inputs'!$I$38,0)+IF('Town inputs'!$G$39=3,E359*'Town inputs'!$I$39,0))/E12,0)</x:f>
        <x:v>0</x:v>
      </x:c>
      <x:c r="F48" s="51" t="n">
        <x:f>IF(F12&gt;0,(IF('Town inputs'!$G$26=3,F73*'Town inputs'!$I$26,0)+IF('Town inputs'!$G$27=3,F95*'Town inputs'!$I$27,0)+IF('Town inputs'!$G$28=3,F117*'Town inputs'!$I$28,0)+IF('Town inputs'!$G$29=3,F139*'Town inputs'!$I$29,0)+IF('Town inputs'!$G$30=3,F161*'Town inputs'!$I$30,0)+IF('Town inputs'!$G$31=3,F183*'Town inputs'!$I$31,0)+IF('Town inputs'!$G$32=3,F205*'Town inputs'!$I$32,0)+IF('Town inputs'!$G$33=3,F227*'Town inputs'!$I$33,0)+IF('Town inputs'!$G$34=3,F249*'Town inputs'!$I$34,0)+IF('Town inputs'!$G$35=3,F271*'Town inputs'!$I$35,0)+IF('Town inputs'!$G$36=3,F293*'Town inputs'!$I$36,0)+IF('Town inputs'!$G$37=3,F315*'Town inputs'!$I$37,0)+IF('Town inputs'!$G$38=3,F337*'Town inputs'!$I$38,0)+IF('Town inputs'!$G$39=3,F359*'Town inputs'!$I$39,0))/F12,0)</x:f>
        <x:v>0</x:v>
      </x:c>
      <x:c r="G48" s="51" t="n">
        <x:f>IF(G12&gt;0,(IF('Town inputs'!$G$26=3,G73*'Town inputs'!$I$26,0)+IF('Town inputs'!$G$27=3,G95*'Town inputs'!$I$27,0)+IF('Town inputs'!$G$28=3,G117*'Town inputs'!$I$28,0)+IF('Town inputs'!$G$29=3,G139*'Town inputs'!$I$29,0)+IF('Town inputs'!$G$30=3,G161*'Town inputs'!$I$30,0)+IF('Town inputs'!$G$31=3,G183*'Town inputs'!$I$31,0)+IF('Town inputs'!$G$32=3,G205*'Town inputs'!$I$32,0)+IF('Town inputs'!$G$33=3,G227*'Town inputs'!$I$33,0)+IF('Town inputs'!$G$34=3,G249*'Town inputs'!$I$34,0)+IF('Town inputs'!$G$35=3,G271*'Town inputs'!$I$35,0)+IF('Town inputs'!$G$36=3,G293*'Town inputs'!$I$36,0)+IF('Town inputs'!$G$37=3,G315*'Town inputs'!$I$37,0)+IF('Town inputs'!$G$38=3,G337*'Town inputs'!$I$38,0)+IF('Town inputs'!$G$39=3,G359*'Town inputs'!$I$39,0))/G12,0)</x:f>
        <x:v>0</x:v>
      </x:c>
      <x:c r="H48" s="51" t="n">
        <x:f>IF(H12&gt;0,(IF('Town inputs'!$G$26=3,H73*'Town inputs'!$I$26,0)+IF('Town inputs'!$G$27=3,H95*'Town inputs'!$I$27,0)+IF('Town inputs'!$G$28=3,H117*'Town inputs'!$I$28,0)+IF('Town inputs'!$G$29=3,H139*'Town inputs'!$I$29,0)+IF('Town inputs'!$G$30=3,H161*'Town inputs'!$I$30,0)+IF('Town inputs'!$G$31=3,H183*'Town inputs'!$I$31,0)+IF('Town inputs'!$G$32=3,H205*'Town inputs'!$I$32,0)+IF('Town inputs'!$G$33=3,H227*'Town inputs'!$I$33,0)+IF('Town inputs'!$G$34=3,H249*'Town inputs'!$I$34,0)+IF('Town inputs'!$G$35=3,H271*'Town inputs'!$I$35,0)+IF('Town inputs'!$G$36=3,H293*'Town inputs'!$I$36,0)+IF('Town inputs'!$G$37=3,H315*'Town inputs'!$I$37,0)+IF('Town inputs'!$G$38=3,H337*'Town inputs'!$I$38,0)+IF('Town inputs'!$G$39=3,H359*'Town inputs'!$I$39,0))/H12,0)</x:f>
        <x:v>0</x:v>
      </x:c>
      <x:c r="I48" s="51" t="n">
        <x:f>IF(I12&gt;0,(IF('Town inputs'!$G$26=3,I73*'Town inputs'!$I$26,0)+IF('Town inputs'!$G$27=3,I95*'Town inputs'!$I$27,0)+IF('Town inputs'!$G$28=3,I117*'Town inputs'!$I$28,0)+IF('Town inputs'!$G$29=3,I139*'Town inputs'!$I$29,0)+IF('Town inputs'!$G$30=3,I161*'Town inputs'!$I$30,0)+IF('Town inputs'!$G$31=3,I183*'Town inputs'!$I$31,0)+IF('Town inputs'!$G$32=3,I205*'Town inputs'!$I$32,0)+IF('Town inputs'!$G$33=3,I227*'Town inputs'!$I$33,0)+IF('Town inputs'!$G$34=3,I249*'Town inputs'!$I$34,0)+IF('Town inputs'!$G$35=3,I271*'Town inputs'!$I$35,0)+IF('Town inputs'!$G$36=3,I293*'Town inputs'!$I$36,0)+IF('Town inputs'!$G$37=3,I315*'Town inputs'!$I$37,0)+IF('Town inputs'!$G$38=3,I337*'Town inputs'!$I$38,0)+IF('Town inputs'!$G$39=3,I359*'Town inputs'!$I$39,0))/I12,0)</x:f>
        <x:v>0.003007431498279496</x:v>
      </x:c>
      <x:c r="J48" s="51" t="n">
        <x:f>IF(J12&gt;0,(IF('Town inputs'!$G$26=3,J73*'Town inputs'!$I$26,0)+IF('Town inputs'!$G$27=3,J95*'Town inputs'!$I$27,0)+IF('Town inputs'!$G$28=3,J117*'Town inputs'!$I$28,0)+IF('Town inputs'!$G$29=3,J139*'Town inputs'!$I$29,0)+IF('Town inputs'!$G$30=3,J161*'Town inputs'!$I$30,0)+IF('Town inputs'!$G$31=3,J183*'Town inputs'!$I$31,0)+IF('Town inputs'!$G$32=3,J205*'Town inputs'!$I$32,0)+IF('Town inputs'!$G$33=3,J227*'Town inputs'!$I$33,0)+IF('Town inputs'!$G$34=3,J249*'Town inputs'!$I$34,0)+IF('Town inputs'!$G$35=3,J271*'Town inputs'!$I$35,0)+IF('Town inputs'!$G$36=3,J293*'Town inputs'!$I$36,0)+IF('Town inputs'!$G$37=3,J315*'Town inputs'!$I$37,0)+IF('Town inputs'!$G$38=3,J337*'Town inputs'!$I$38,0)+IF('Town inputs'!$G$39=3,J359*'Town inputs'!$I$39,0))/J12,0)</x:f>
        <x:v>0.009392048104815373</x:v>
      </x:c>
      <x:c r="K48" s="1"/>
      <x:c r="L48" s="1"/>
      <x:c r="M48" s="1"/>
    </x:row>
    <x:row r="49" ht="22" customHeight="1">
      <x:c r="A49" s="1"/>
      <x:c r="B49" s="1"/>
      <x:c r="C49" s="1"/>
      <x:c r="D49" s="6"/>
      <x:c r="E49" s="6"/>
      <x:c r="F49" s="6"/>
      <x:c r="G49" s="6"/>
      <x:c r="H49" s="6"/>
      <x:c r="I49" s="6"/>
      <x:c r="J49" s="6"/>
      <x:c r="K49" s="1"/>
      <x:c r="L49" s="1"/>
      <x:c r="M49" s="1"/>
    </x:row>
    <x:row r="50" ht="22" customHeight="1">
      <x:c r="A50" s="1"/>
      <x:c r="B50" s="1"/>
      <x:c r="C50" s="1"/>
      <x:c r="D50" s="6"/>
      <x:c r="E50" s="6"/>
      <x:c r="F50" s="6"/>
      <x:c r="G50" s="6"/>
      <x:c r="H50" s="6"/>
      <x:c r="I50" s="6"/>
      <x:c r="J50" s="6"/>
      <x:c r="K50" s="1"/>
      <x:c r="L50" s="1"/>
      <x:c r="M50" s="1"/>
    </x:row>
    <x:row r="51" ht="22" customHeight="1">
      <x:c r="A51" s="1"/>
      <x:c r="B51" s="1"/>
      <x:c r="C51" s="32" t="str">
        <x:v>Acquisition ramp: 8% of remaining never-acquired outsourcing households in launch year, +2 percentage points per year up to 16%, subject to scenario multipliers and local supply. No returns of lost customers or second finder fee are assumed. Finder waivers follow the new-property mix within each town.</x:v>
      </x:c>
      <x:c r="D51" s="33"/>
      <x:c r="E51" s="33"/>
      <x:c r="F51" s="33"/>
      <x:c r="G51" s="33"/>
      <x:c r="H51" s="33"/>
      <x:c r="I51" s="33"/>
      <x:c r="J51" s="33"/>
      <x:c r="K51" s="1"/>
      <x:c r="L51" s="1"/>
      <x:c r="M51" s="1"/>
    </x:row>
    <x:row r="52" ht="22" customHeight="1">
      <x:c r="A52" s="1"/>
      <x:c r="B52" s="1"/>
      <x:c r="C52" s="32"/>
      <x:c r="D52" s="33"/>
      <x:c r="E52" s="33"/>
      <x:c r="F52" s="33"/>
      <x:c r="G52" s="33"/>
      <x:c r="H52" s="33"/>
      <x:c r="I52" s="33"/>
      <x:c r="J52" s="33"/>
      <x:c r="K52" s="1"/>
      <x:c r="L52" s="1"/>
      <x:c r="M52" s="1"/>
    </x:row>
    <x:row r="53" ht="22" customHeight="1">
      <x:c r="A53" s="1"/>
      <x:c r="B53" s="1"/>
      <x:c r="C53" s="1"/>
      <x:c r="D53" s="6"/>
      <x:c r="E53" s="6"/>
      <x:c r="F53" s="6"/>
      <x:c r="G53" s="6"/>
      <x:c r="H53" s="6"/>
      <x:c r="I53" s="6"/>
      <x:c r="J53" s="6"/>
      <x:c r="K53" s="1"/>
      <x:c r="L53" s="1"/>
      <x:c r="M53" s="1"/>
    </x:row>
    <x:row r="54" ht="22" customHeight="1">
      <x:c r="A54" s="1"/>
      <x:c r="B54" s="1"/>
      <x:c r="C54" s="32" t="str">
        <x:v>Joint town / property weights use full-season household exposure. Price tiers and lot sizes stay correlated within towns. They replace the old independent demographic mixes; standard service frequency and retention remain explicit shared assumptions.</x:v>
      </x:c>
      <x:c r="D54" s="33"/>
      <x:c r="E54" s="33"/>
      <x:c r="F54" s="33"/>
      <x:c r="G54" s="33"/>
      <x:c r="H54" s="33"/>
      <x:c r="I54" s="33"/>
      <x:c r="J54" s="33"/>
      <x:c r="K54" s="1"/>
      <x:c r="L54" s="1"/>
      <x:c r="M54" s="1"/>
    </x:row>
    <x:row r="55" ht="22" customHeight="1">
      <x:c r="A55" s="1"/>
      <x:c r="B55" s="1"/>
      <x:c r="C55" s="32"/>
      <x:c r="D55" s="33"/>
      <x:c r="E55" s="33"/>
      <x:c r="F55" s="33"/>
      <x:c r="G55" s="33"/>
      <x:c r="H55" s="33"/>
      <x:c r="I55" s="33"/>
      <x:c r="J55" s="33"/>
      <x:c r="K55" s="1"/>
      <x:c r="L55" s="1"/>
      <x:c r="M55" s="1"/>
    </x:row>
    <x:row r="56" ht="22" customHeight="1">
      <x:c r="A56" s="1"/>
      <x:c r="B56" s="1"/>
      <x:c r="C56" s="1"/>
      <x:c r="D56" s="6"/>
      <x:c r="E56" s="6"/>
      <x:c r="F56" s="6"/>
      <x:c r="G56" s="6"/>
      <x:c r="H56" s="6"/>
      <x:c r="I56" s="6"/>
      <x:c r="J56" s="6"/>
      <x:c r="K56" s="1"/>
      <x:c r="L56" s="1"/>
      <x:c r="M56" s="1"/>
    </x:row>
    <x:row r="57" ht="22" customHeight="1">
      <x:c r="A57" s="1"/>
      <x:c r="B57" s="1"/>
      <x:c r="C57" s="32" t="str">
        <x:v>Launch schedule is illustrative and conditional on service quality, retention and repeat contribution. Capacity is town-specific; 40 year-end households per provider. Route times, acreage and service-specific certifications require pilot validation.</x:v>
      </x:c>
      <x:c r="D57" s="33"/>
      <x:c r="E57" s="33"/>
      <x:c r="F57" s="33"/>
      <x:c r="G57" s="33"/>
      <x:c r="H57" s="33"/>
      <x:c r="I57" s="33"/>
      <x:c r="J57" s="33"/>
      <x:c r="K57" s="1"/>
      <x:c r="L57" s="1"/>
      <x:c r="M57" s="1"/>
    </x:row>
    <x:row r="58" ht="22" customHeight="1">
      <x:c r="A58" s="1"/>
      <x:c r="B58" s="1"/>
      <x:c r="C58" s="32"/>
      <x:c r="D58" s="33"/>
      <x:c r="E58" s="33"/>
      <x:c r="F58" s="33"/>
      <x:c r="G58" s="33"/>
      <x:c r="H58" s="33"/>
      <x:c r="I58" s="33"/>
      <x:c r="J58" s="33"/>
      <x:c r="K58" s="1"/>
      <x:c r="L58" s="1"/>
      <x:c r="M58" s="1"/>
    </x:row>
    <x:row r="59" ht="22" customHeight="1">
      <x:c r="A59" s="1"/>
      <x:c r="B59" s="1"/>
      <x:c r="C59" s="1"/>
      <x:c r="D59" s="6"/>
      <x:c r="E59" s="6"/>
      <x:c r="F59" s="6"/>
      <x:c r="G59" s="6"/>
      <x:c r="H59" s="6"/>
      <x:c r="I59" s="6"/>
      <x:c r="J59" s="6"/>
      <x:c r="K59" s="1"/>
      <x:c r="L59" s="1"/>
      <x:c r="M59" s="1"/>
    </x:row>
    <x:row r="60" ht="22" customHeight="1">
      <x:c r="A60" s="1"/>
      <x:c r="B60" s="1"/>
      <x:c r="C60" s="1"/>
      <x:c r="D60" s="6"/>
      <x:c r="E60" s="6"/>
      <x:c r="F60" s="6"/>
      <x:c r="G60" s="6"/>
      <x:c r="H60" s="6"/>
      <x:c r="I60" s="6"/>
      <x:c r="J60" s="6"/>
      <x:c r="K60" s="1"/>
      <x:c r="L60" s="1"/>
      <x:c r="M60" s="1"/>
    </x:row>
    <x:row r="61" ht="22" customHeight="1">
      <x:c r="A61" s="1"/>
      <x:c r="B61" s="1"/>
      <x:c r="C61" s="1"/>
      <x:c r="D61" s="6"/>
      <x:c r="E61" s="6"/>
      <x:c r="F61" s="6"/>
      <x:c r="G61" s="6"/>
      <x:c r="H61" s="6"/>
      <x:c r="I61" s="6"/>
      <x:c r="J61" s="6"/>
      <x:c r="K61" s="1"/>
      <x:c r="L61" s="1"/>
      <x:c r="M61" s="1"/>
    </x:row>
    <x:row r="62" ht="22" customHeight="1">
      <x:c r="A62" s="1"/>
      <x:c r="B62" s="1"/>
      <x:c r="C62" s="5" t="str">
        <x:v>Barnegat | Ocean County</x:v>
      </x:c>
      <x:c r="D62" s="26"/>
      <x:c r="E62" s="26"/>
      <x:c r="F62" s="26"/>
      <x:c r="G62" s="26"/>
      <x:c r="H62" s="26"/>
      <x:c r="I62" s="26"/>
      <x:c r="J62" s="26"/>
      <x:c r="K62" s="1"/>
      <x:c r="L62" s="1"/>
      <x:c r="M62" s="1"/>
    </x:row>
    <x:row r="63" ht="22" customHeight="1">
      <x:c r="A63" s="1"/>
      <x:c r="B63" s="1"/>
      <x:c r="C63" s="1" t="str">
        <x:v>Years since launch</x:v>
      </x:c>
      <x:c r="D63" s="49" t="n">
        <x:f>MAX(0,2027-'Town inputs'!$D$26+1)</x:f>
        <x:v>1</x:v>
      </x:c>
      <x:c r="E63" s="49" t="n">
        <x:f>MAX(0,2028-'Town inputs'!$D$26+1)</x:f>
        <x:v>2</x:v>
      </x:c>
      <x:c r="F63" s="49" t="n">
        <x:f>MAX(0,2029-'Town inputs'!$D$26+1)</x:f>
        <x:v>3</x:v>
      </x:c>
      <x:c r="G63" s="49" t="n">
        <x:f>MAX(0,2030-'Town inputs'!$D$26+1)</x:f>
        <x:v>4</x:v>
      </x:c>
      <x:c r="H63" s="49" t="n">
        <x:f>MAX(0,2031-'Town inputs'!$D$26+1)</x:f>
        <x:v>5</x:v>
      </x:c>
      <x:c r="I63" s="49" t="n">
        <x:f>MAX(0,2032-'Town inputs'!$D$26+1)</x:f>
        <x:v>6</x:v>
      </x:c>
      <x:c r="J63" s="49" t="n">
        <x:f>MAX(0,2033-'Town inputs'!$D$26+1)</x:f>
        <x:v>7</x:v>
      </x:c>
      <x:c r="K63" s="1"/>
      <x:c r="L63" s="1"/>
      <x:c r="M63" s="1"/>
    </x:row>
    <x:row r="64" ht="22" customHeight="1">
      <x:c r="A64" s="1"/>
      <x:c r="B64" s="1"/>
      <x:c r="C64" s="1" t="str">
        <x:v>Assumed outsourcing pool</x:v>
      </x:c>
      <x:c r="D64" s="49" t="n">
        <x:f>IF(D63&gt;0,'Town inputs'!$D$7*'Town inputs'!$E$7*'Town inputs'!$E$26*MIN(1,'Town inputs'!$F$26*IF('Assumptions'!$D$3="Downside",'Town inputs'!$D$73,IF('Assumptions'!$D$3="Upside",'Town inputs'!$D$74,1))),0)</x:f>
        <x:v>3048.7050000000004</x:v>
      </x:c>
      <x:c r="E64" s="49" t="n">
        <x:f>IF(E63&gt;0,'Town inputs'!$D$7*'Town inputs'!$E$7*'Town inputs'!$E$26*MIN(1,'Town inputs'!$F$26*IF('Assumptions'!$D$3="Downside",'Town inputs'!$D$73,IF('Assumptions'!$D$3="Upside",'Town inputs'!$D$74,1))),0)</x:f>
        <x:v>3048.7050000000004</x:v>
      </x:c>
      <x:c r="F64" s="49" t="n">
        <x:f>IF(F63&gt;0,'Town inputs'!$D$7*'Town inputs'!$E$7*'Town inputs'!$E$26*MIN(1,'Town inputs'!$F$26*IF('Assumptions'!$D$3="Downside",'Town inputs'!$D$73,IF('Assumptions'!$D$3="Upside",'Town inputs'!$D$74,1))),0)</x:f>
        <x:v>3048.7050000000004</x:v>
      </x:c>
      <x:c r="G64" s="49" t="n">
        <x:f>IF(G63&gt;0,'Town inputs'!$D$7*'Town inputs'!$E$7*'Town inputs'!$E$26*MIN(1,'Town inputs'!$F$26*IF('Assumptions'!$D$3="Downside",'Town inputs'!$D$73,IF('Assumptions'!$D$3="Upside",'Town inputs'!$D$74,1))),0)</x:f>
        <x:v>3048.7050000000004</x:v>
      </x:c>
      <x:c r="H64" s="49" t="n">
        <x:f>IF(H63&gt;0,'Town inputs'!$D$7*'Town inputs'!$E$7*'Town inputs'!$E$26*MIN(1,'Town inputs'!$F$26*IF('Assumptions'!$D$3="Downside",'Town inputs'!$D$73,IF('Assumptions'!$D$3="Upside",'Town inputs'!$D$74,1))),0)</x:f>
        <x:v>3048.7050000000004</x:v>
      </x:c>
      <x:c r="I64" s="49" t="n">
        <x:f>IF(I63&gt;0,'Town inputs'!$D$7*'Town inputs'!$E$7*'Town inputs'!$E$26*MIN(1,'Town inputs'!$F$26*IF('Assumptions'!$D$3="Downside",'Town inputs'!$D$73,IF('Assumptions'!$D$3="Upside",'Town inputs'!$D$74,1))),0)</x:f>
        <x:v>3048.7050000000004</x:v>
      </x:c>
      <x:c r="J64" s="49" t="n">
        <x:f>IF(J63&gt;0,'Town inputs'!$D$7*'Town inputs'!$E$7*'Town inputs'!$E$26*MIN(1,'Town inputs'!$F$26*IF('Assumptions'!$D$3="Downside",'Town inputs'!$D$73,IF('Assumptions'!$D$3="Upside",'Town inputs'!$D$74,1))),0)</x:f>
        <x:v>3048.7050000000004</x:v>
      </x:c>
      <x:c r="K64" s="1"/>
      <x:c r="L64" s="1"/>
      <x:c r="M64" s="1"/>
    </x:row>
    <x:row r="65" ht="22" customHeight="1">
      <x:c r="A65" s="1"/>
      <x:c r="B65" s="1"/>
      <x:c r="C65" s="1" t="str">
        <x:v>Opening active households</x:v>
      </x:c>
      <x:c r="D65" s="11" t="n">
        <x:f>0</x:f>
        <x:v>0</x:v>
      </x:c>
      <x:c r="E65" s="11" t="n">
        <x:f>D72</x:f>
        <x:v>240</x:v>
      </x:c>
      <x:c r="F65" s="11" t="n">
        <x:f>E72</x:f>
        <x:v>448.87050000000005</x:v>
      </x:c>
      <x:c r="G65" s="11" t="n">
        <x:f>F72</x:f>
        <x:v>639.993015</x:v>
      </x:c>
      <x:c r="H65" s="11" t="n">
        <x:f>G72</x:f>
        <x:v>810.6237621000001</x:v>
      </x:c>
      <x:c r="I65" s="11" t="n">
        <x:f>H72</x:f>
        <x:v>954.5894336160002</x:v>
      </x:c>
      <x:c r="J65" s="11" t="n">
        <x:f>I72</x:f>
        <x:v>1020.7875029990403</x:v>
      </x:c>
      <x:c r="K65" s="1"/>
      <x:c r="L65" s="1"/>
      <x:c r="M65" s="1"/>
    </x:row>
    <x:row r="66" ht="22" customHeight="1">
      <x:c r="A66" s="1"/>
      <x:c r="B66" s="1"/>
      <x:c r="C66" s="1" t="str">
        <x:v>Retained households</x:v>
      </x:c>
      <x:c r="D66" s="49" t="n">
        <x:f>D65*'Assumptions'!D12</x:f>
        <x:v>0</x:v>
      </x:c>
      <x:c r="E66" s="49" t="n">
        <x:f>E65*'Assumptions'!E12</x:f>
        <x:v>168</x:v>
      </x:c>
      <x:c r="F66" s="49" t="n">
        <x:f>F65*'Assumptions'!F12</x:f>
        <x:v>336.65287500000005</x:v>
      </x:c>
      <x:c r="G66" s="49" t="n">
        <x:f>G65*'Assumptions'!G12</x:f>
        <x:v>499.19455170000003</x:v>
      </x:c>
      <x:c r="H66" s="49" t="n">
        <x:f>H65*'Assumptions'!H12</x:f>
        <x:v>648.4990096800002</x:v>
      </x:c>
      <x:c r="I66" s="49" t="n">
        <x:f>I65*'Assumptions'!I12</x:f>
        <x:v>763.6715468928002</x:v>
      </x:c>
      <x:c r="J66" s="49" t="n">
        <x:f>J65*'Assumptions'!J12</x:f>
        <x:v>816.6300023992322</x:v>
      </x:c>
      <x:c r="K66" s="1"/>
      <x:c r="L66" s="1"/>
      <x:c r="M66" s="1"/>
    </x:row>
    <x:row r="67" ht="22" customHeight="1">
      <x:c r="A67" s="1"/>
      <x:c r="B67" s="1"/>
      <x:c r="C67" s="1" t="str">
        <x:v>Previously acquired households</x:v>
      </x:c>
      <x:c r="D67" s="11" t="n">
        <x:f>0</x:f>
        <x:v>0</x:v>
      </x:c>
      <x:c r="E67" s="11" t="n">
        <x:f>D74</x:f>
        <x:v>240</x:v>
      </x:c>
      <x:c r="F67" s="11" t="n">
        <x:f>E74</x:f>
        <x:v>520.8705</x:v>
      </x:c>
      <x:c r="G67" s="11" t="n">
        <x:f>F74</x:f>
        <x:v>824.21064</x:v>
      </x:c>
      <x:c r="H67" s="11" t="n">
        <x:f>G74</x:f>
        <x:v>1135.6398504000001</x:v>
      </x:c>
      <x:c r="I67" s="11" t="n">
        <x:f>H74</x:f>
        <x:v>1441.730274336</x:v>
      </x:c>
      <x:c r="J67" s="11" t="n">
        <x:f>I74</x:f>
        <x:v>1698.84623044224</x:v>
      </x:c>
      <x:c r="K67" s="1"/>
      <x:c r="L67" s="1"/>
      <x:c r="M67" s="1"/>
    </x:row>
    <x:row r="68" ht="22" customHeight="1">
      <x:c r="A68" s="1"/>
      <x:c r="B68" s="1"/>
      <x:c r="C68" s="1" t="str">
        <x:v>Qualified provider capacity plan</x:v>
      </x:c>
      <x:c r="D68" s="49" t="n">
        <x:f>IF(D63=0,0,MIN(ROUNDUP('Town inputs'!$E$45*IF('Assumptions'!$D$3="Downside",'Town inputs'!$D$77,IF('Assumptions'!$D$3="Upside",'Town inputs'!$D$78,1)),0),ROUNDUP(('Town inputs'!$J$26+(D63-1)*'Town inputs'!$D$45)*IF('Assumptions'!$D$3="Downside",'Town inputs'!$D$77,IF('Assumptions'!$D$3="Upside",'Town inputs'!$D$78,1)),0)))</x:f>
        <x:v>6</x:v>
      </x:c>
      <x:c r="E68" s="49" t="n">
        <x:f>IF(E63=0,0,MIN(ROUNDUP('Town inputs'!$E$45*IF('Assumptions'!$D$3="Downside",'Town inputs'!$D$77,IF('Assumptions'!$D$3="Upside",'Town inputs'!$D$78,1)),0),ROUNDUP(('Town inputs'!$J$26+(E63-1)*'Town inputs'!$D$45)*IF('Assumptions'!$D$3="Downside",'Town inputs'!$D$77,IF('Assumptions'!$D$3="Upside",'Town inputs'!$D$78,1)),0)))</x:f>
        <x:v>12</x:v>
      </x:c>
      <x:c r="F68" s="49" t="n">
        <x:f>IF(F63=0,0,MIN(ROUNDUP('Town inputs'!$E$45*IF('Assumptions'!$D$3="Downside",'Town inputs'!$D$77,IF('Assumptions'!$D$3="Upside",'Town inputs'!$D$78,1)),0),ROUNDUP(('Town inputs'!$J$26+(F63-1)*'Town inputs'!$D$45)*IF('Assumptions'!$D$3="Downside",'Town inputs'!$D$77,IF('Assumptions'!$D$3="Upside",'Town inputs'!$D$78,1)),0)))</x:f>
        <x:v>18</x:v>
      </x:c>
      <x:c r="G68" s="49" t="n">
        <x:f>IF(G63=0,0,MIN(ROUNDUP('Town inputs'!$E$45*IF('Assumptions'!$D$3="Downside",'Town inputs'!$D$77,IF('Assumptions'!$D$3="Upside",'Town inputs'!$D$78,1)),0),ROUNDUP(('Town inputs'!$J$26+(G63-1)*'Town inputs'!$D$45)*IF('Assumptions'!$D$3="Downside",'Town inputs'!$D$77,IF('Assumptions'!$D$3="Upside",'Town inputs'!$D$78,1)),0)))</x:f>
        <x:v>24</x:v>
      </x:c>
      <x:c r="H68" s="49" t="n">
        <x:f>IF(H63=0,0,MIN(ROUNDUP('Town inputs'!$E$45*IF('Assumptions'!$D$3="Downside",'Town inputs'!$D$77,IF('Assumptions'!$D$3="Upside",'Town inputs'!$D$78,1)),0),ROUNDUP(('Town inputs'!$J$26+(H63-1)*'Town inputs'!$D$45)*IF('Assumptions'!$D$3="Downside",'Town inputs'!$D$77,IF('Assumptions'!$D$3="Upside",'Town inputs'!$D$78,1)),0)))</x:f>
        <x:v>30</x:v>
      </x:c>
      <x:c r="I68" s="49" t="n">
        <x:f>IF(I63=0,0,MIN(ROUNDUP('Town inputs'!$E$45*IF('Assumptions'!$D$3="Downside",'Town inputs'!$D$77,IF('Assumptions'!$D$3="Upside",'Town inputs'!$D$78,1)),0),ROUNDUP(('Town inputs'!$J$26+(I63-1)*'Town inputs'!$D$45)*IF('Assumptions'!$D$3="Downside",'Town inputs'!$D$77,IF('Assumptions'!$D$3="Upside",'Town inputs'!$D$78,1)),0)))</x:f>
        <x:v>36</x:v>
      </x:c>
      <x:c r="J68" s="49" t="n">
        <x:f>IF(J63=0,0,MIN(ROUNDUP('Town inputs'!$E$45*IF('Assumptions'!$D$3="Downside",'Town inputs'!$D$77,IF('Assumptions'!$D$3="Upside",'Town inputs'!$D$78,1)),0),ROUNDUP(('Town inputs'!$J$26+(J63-1)*'Town inputs'!$D$45)*IF('Assumptions'!$D$3="Downside",'Town inputs'!$D$77,IF('Assumptions'!$D$3="Upside",'Town inputs'!$D$78,1)),0)))</x:f>
        <x:v>42</x:v>
      </x:c>
      <x:c r="K68" s="1"/>
      <x:c r="L68" s="1"/>
      <x:c r="M68" s="1"/>
    </x:row>
    <x:row r="69" ht="22" customHeight="1">
      <x:c r="A69" s="1"/>
      <x:c r="B69" s="1"/>
      <x:c r="C69" s="1" t="str">
        <x:v>Household capacity</x:v>
      </x:c>
      <x:c r="D69" s="49" t="n">
        <x:f>D68*'Assumptions'!$D$72</x:f>
        <x:v>240</x:v>
      </x:c>
      <x:c r="E69" s="49" t="n">
        <x:f>E68*'Assumptions'!$D$72</x:f>
        <x:v>480</x:v>
      </x:c>
      <x:c r="F69" s="49" t="n">
        <x:f>F68*'Assumptions'!$D$72</x:f>
        <x:v>720</x:v>
      </x:c>
      <x:c r="G69" s="49" t="n">
        <x:f>G68*'Assumptions'!$D$72</x:f>
        <x:v>960</x:v>
      </x:c>
      <x:c r="H69" s="49" t="n">
        <x:f>H68*'Assumptions'!$D$72</x:f>
        <x:v>1200</x:v>
      </x:c>
      <x:c r="I69" s="49" t="n">
        <x:f>I68*'Assumptions'!$D$72</x:f>
        <x:v>1440</x:v>
      </x:c>
      <x:c r="J69" s="49" t="n">
        <x:f>J68*'Assumptions'!$D$72</x:f>
        <x:v>1680</x:v>
      </x:c>
      <x:c r="K69" s="1"/>
      <x:c r="L69" s="1"/>
      <x:c r="M69" s="1"/>
    </x:row>
    <x:row r="70" ht="22" customHeight="1">
      <x:c r="A70" s="1"/>
      <x:c r="B70" s="1"/>
      <x:c r="C70" s="1" t="str">
        <x:v>Unconstrained new demand</x:v>
      </x:c>
      <x:c r="D70" s="49" t="n">
        <x:f>MAX(0,D64-D67)*MIN(1,MIN('Town inputs'!$D$65,'Town inputs'!$D$63+MAX(0,D63-1)*'Town inputs'!$D$64)*IF('Assumptions'!$D$3="Downside",'Town inputs'!$D$75,IF('Assumptions'!$D$3="Upside",'Town inputs'!$D$76,1)))</x:f>
        <x:v>243.89640000000003</x:v>
      </x:c>
      <x:c r="E70" s="49" t="n">
        <x:f>MAX(0,E64-E67)*MIN(1,MIN('Town inputs'!$D$65,'Town inputs'!$D$63+MAX(0,E63-1)*'Town inputs'!$D$64)*IF('Assumptions'!$D$3="Downside",'Town inputs'!$D$75,IF('Assumptions'!$D$3="Upside",'Town inputs'!$D$76,1)))</x:f>
        <x:v>280.87050000000005</x:v>
      </x:c>
      <x:c r="F70" s="49" t="n">
        <x:f>MAX(0,F64-F67)*MIN(1,MIN('Town inputs'!$D$65,'Town inputs'!$D$63+MAX(0,F63-1)*'Town inputs'!$D$64)*IF('Assumptions'!$D$3="Downside",'Town inputs'!$D$75,IF('Assumptions'!$D$3="Upside",'Town inputs'!$D$76,1)))</x:f>
        <x:v>303.34014</x:v>
      </x:c>
      <x:c r="G70" s="49" t="n">
        <x:f>MAX(0,G64-G67)*MIN(1,MIN('Town inputs'!$D$65,'Town inputs'!$D$63+MAX(0,G63-1)*'Town inputs'!$D$64)*IF('Assumptions'!$D$3="Downside",'Town inputs'!$D$75,IF('Assumptions'!$D$3="Upside",'Town inputs'!$D$76,1)))</x:f>
        <x:v>311.4292104000001</x:v>
      </x:c>
      <x:c r="H70" s="49" t="n">
        <x:f>MAX(0,H64-H67)*MIN(1,MIN('Town inputs'!$D$65,'Town inputs'!$D$63+MAX(0,H63-1)*'Town inputs'!$D$64)*IF('Assumptions'!$D$3="Downside",'Town inputs'!$D$75,IF('Assumptions'!$D$3="Upside",'Town inputs'!$D$76,1)))</x:f>
        <x:v>306.09042393600004</x:v>
      </x:c>
      <x:c r="I70" s="49" t="n">
        <x:f>MAX(0,I64-I67)*MIN(1,MIN('Town inputs'!$D$65,'Town inputs'!$D$63+MAX(0,I63-1)*'Town inputs'!$D$64)*IF('Assumptions'!$D$3="Downside",'Town inputs'!$D$75,IF('Assumptions'!$D$3="Upside",'Town inputs'!$D$76,1)))</x:f>
        <x:v>257.11595610624005</x:v>
      </x:c>
      <x:c r="J70" s="49" t="n">
        <x:f>MAX(0,J64-J67)*MIN(1,MIN('Town inputs'!$D$65,'Town inputs'!$D$63+MAX(0,J63-1)*'Town inputs'!$D$64)*IF('Assumptions'!$D$3="Downside",'Town inputs'!$D$75,IF('Assumptions'!$D$3="Upside",'Town inputs'!$D$76,1)))</x:f>
        <x:v>215.97740312924165</x:v>
      </x:c>
      <x:c r="K70" s="1"/>
      <x:c r="L70" s="1"/>
      <x:c r="M70" s="1"/>
    </x:row>
    <x:row r="71" ht="22" customHeight="1">
      <x:c r="A71" s="1"/>
      <x:c r="B71" s="1"/>
      <x:c r="C71" s="1" t="str">
        <x:v>New first-time households</x:v>
      </x:c>
      <x:c r="D71" s="11" t="n">
        <x:f>MIN(D70,MAX(0,D69-D66))</x:f>
        <x:v>240</x:v>
      </x:c>
      <x:c r="E71" s="11" t="n">
        <x:f>MIN(E70,MAX(0,E69-E66))</x:f>
        <x:v>280.87050000000005</x:v>
      </x:c>
      <x:c r="F71" s="11" t="n">
        <x:f>MIN(F70,MAX(0,F69-F66))</x:f>
        <x:v>303.34014</x:v>
      </x:c>
      <x:c r="G71" s="11" t="n">
        <x:f>MIN(G70,MAX(0,G69-G66))</x:f>
        <x:v>311.4292104000001</x:v>
      </x:c>
      <x:c r="H71" s="11" t="n">
        <x:f>MIN(H70,MAX(0,H69-H66))</x:f>
        <x:v>306.09042393600004</x:v>
      </x:c>
      <x:c r="I71" s="11" t="n">
        <x:f>MIN(I70,MAX(0,I69-I66))</x:f>
        <x:v>257.11595610624005</x:v>
      </x:c>
      <x:c r="J71" s="11" t="n">
        <x:f>MIN(J70,MAX(0,J69-J66))</x:f>
        <x:v>215.97740312924165</x:v>
      </x:c>
      <x:c r="K71" s="1"/>
      <x:c r="L71" s="1"/>
      <x:c r="M71" s="1"/>
    </x:row>
    <x:row r="72" ht="22" customHeight="1">
      <x:c r="A72" s="1"/>
      <x:c r="B72" s="1"/>
      <x:c r="C72" s="1" t="str">
        <x:v>Ending active households</x:v>
      </x:c>
      <x:c r="D72" s="11" t="n">
        <x:f>D66+D71</x:f>
        <x:v>240</x:v>
      </x:c>
      <x:c r="E72" s="11" t="n">
        <x:f>E66+E71</x:f>
        <x:v>448.87050000000005</x:v>
      </x:c>
      <x:c r="F72" s="11" t="n">
        <x:f>F66+F71</x:f>
        <x:v>639.993015</x:v>
      </x:c>
      <x:c r="G72" s="11" t="n">
        <x:f>G66+G71</x:f>
        <x:v>810.6237621000001</x:v>
      </x:c>
      <x:c r="H72" s="11" t="n">
        <x:f>H66+H71</x:f>
        <x:v>954.5894336160002</x:v>
      </x:c>
      <x:c r="I72" s="11" t="n">
        <x:f>I66+I71</x:f>
        <x:v>1020.7875029990403</x:v>
      </x:c>
      <x:c r="J72" s="11" t="n">
        <x:f>J66+J71</x:f>
        <x:v>1032.607405528474</x:v>
      </x:c>
      <x:c r="K72" s="1"/>
      <x:c r="L72" s="1"/>
      <x:c r="M72" s="1"/>
    </x:row>
    <x:row r="73" ht="22" customHeight="1">
      <x:c r="A73" s="1"/>
      <x:c r="B73" s="1"/>
      <x:c r="C73" s="1" t="str">
        <x:v>Full-season equivalent households</x:v>
      </x:c>
      <x:c r="D73" s="49" t="n">
        <x:f>D66+D71*'Assumptions'!$D$71</x:f>
        <x:v>120</x:v>
      </x:c>
      <x:c r="E73" s="49" t="n">
        <x:f>E66+E71*'Assumptions'!$D$71</x:f>
        <x:v>308.43525</x:v>
      </x:c>
      <x:c r="F73" s="49" t="n">
        <x:f>F66+F71*'Assumptions'!$D$71</x:f>
        <x:v>488.32294500000006</x:v>
      </x:c>
      <x:c r="G73" s="49" t="n">
        <x:f>G66+G71*'Assumptions'!$D$71</x:f>
        <x:v>654.9091569000001</x:v>
      </x:c>
      <x:c r="H73" s="49" t="n">
        <x:f>H66+H71*'Assumptions'!$D$71</x:f>
        <x:v>801.5442216480002</x:v>
      </x:c>
      <x:c r="I73" s="49" t="n">
        <x:f>I66+I71*'Assumptions'!$D$71</x:f>
        <x:v>892.2295249459202</x:v>
      </x:c>
      <x:c r="J73" s="49" t="n">
        <x:f>J66+J71*'Assumptions'!$D$71</x:f>
        <x:v>924.618703963853</x:v>
      </x:c>
      <x:c r="K73" s="1"/>
      <x:c r="L73" s="1"/>
      <x:c r="M73" s="1"/>
    </x:row>
    <x:row r="74" ht="22" customHeight="1">
      <x:c r="A74" s="1"/>
      <x:c r="B74" s="1"/>
      <x:c r="C74" s="1" t="str">
        <x:v>Cumulative ever-acquired households</x:v>
      </x:c>
      <x:c r="D74" s="11" t="n">
        <x:f>D67+D71</x:f>
        <x:v>240</x:v>
      </x:c>
      <x:c r="E74" s="11" t="n">
        <x:f>E67+E71</x:f>
        <x:v>520.8705</x:v>
      </x:c>
      <x:c r="F74" s="11" t="n">
        <x:f>F67+F71</x:f>
        <x:v>824.21064</x:v>
      </x:c>
      <x:c r="G74" s="11" t="n">
        <x:f>G67+G71</x:f>
        <x:v>1135.6398504000001</x:v>
      </x:c>
      <x:c r="H74" s="11" t="n">
        <x:f>H67+H71</x:f>
        <x:v>1441.730274336</x:v>
      </x:c>
      <x:c r="I74" s="11" t="n">
        <x:f>I67+I71</x:f>
        <x:v>1698.84623044224</x:v>
      </x:c>
      <x:c r="J74" s="11" t="n">
        <x:f>J67+J71</x:f>
        <x:v>1914.8236335714817</x:v>
      </x:c>
      <x:c r="K74" s="1"/>
      <x:c r="L74" s="1"/>
      <x:c r="M74" s="1"/>
    </x:row>
    <x:row r="75" ht="22" customHeight="1">
      <x:c r="A75" s="1"/>
      <x:c r="B75" s="1"/>
      <x:c r="C75" s="1" t="str">
        <x:v>Ending payout-active providers</x:v>
      </x:c>
      <x:c r="D75" s="49" t="n">
        <x:f>MIN(D68,ROUNDUP(D72/'Assumptions'!$D$72,0))</x:f>
        <x:v>6</x:v>
      </x:c>
      <x:c r="E75" s="49" t="n">
        <x:f>MIN(E68,ROUNDUP(E72/'Assumptions'!$D$72,0))</x:f>
        <x:v>12</x:v>
      </x:c>
      <x:c r="F75" s="49" t="n">
        <x:f>MIN(F68,ROUNDUP(F72/'Assumptions'!$D$72,0))</x:f>
        <x:v>16</x:v>
      </x:c>
      <x:c r="G75" s="49" t="n">
        <x:f>MIN(G68,ROUNDUP(G72/'Assumptions'!$D$72,0))</x:f>
        <x:v>21</x:v>
      </x:c>
      <x:c r="H75" s="49" t="n">
        <x:f>MIN(H68,ROUNDUP(H72/'Assumptions'!$D$72,0))</x:f>
        <x:v>24</x:v>
      </x:c>
      <x:c r="I75" s="49" t="n">
        <x:f>MIN(I68,ROUNDUP(I72/'Assumptions'!$D$72,0))</x:f>
        <x:v>26</x:v>
      </x:c>
      <x:c r="J75" s="49" t="n">
        <x:f>MIN(J68,ROUNDUP(J72/'Assumptions'!$D$72,0))</x:f>
        <x:v>26</x:v>
      </x:c>
      <x:c r="K75" s="1"/>
      <x:c r="L75" s="1"/>
      <x:c r="M75" s="1"/>
    </x:row>
    <x:row r="76" ht="22" customHeight="1">
      <x:c r="A76" s="1"/>
      <x:c r="B76" s="1"/>
      <x:c r="C76" s="1" t="str">
        <x:v>Retained active providers</x:v>
      </x:c>
      <x:c r="D76" s="11" t="n">
        <x:f>0</x:f>
        <x:v>0</x:v>
      </x:c>
      <x:c r="E76" s="49" t="n">
        <x:f>D75*'Assumptions'!$D$73</x:f>
        <x:v>5.1</x:v>
      </x:c>
      <x:c r="F76" s="49" t="n">
        <x:f>E75*'Assumptions'!$D$73</x:f>
        <x:v>10.2</x:v>
      </x:c>
      <x:c r="G76" s="49" t="n">
        <x:f>F75*'Assumptions'!$D$73</x:f>
        <x:v>13.6</x:v>
      </x:c>
      <x:c r="H76" s="49" t="n">
        <x:f>G75*'Assumptions'!$D$73</x:f>
        <x:v>17.849999999999998</x:v>
      </x:c>
      <x:c r="I76" s="49" t="n">
        <x:f>H75*'Assumptions'!$D$73</x:f>
        <x:v>20.4</x:v>
      </x:c>
      <x:c r="J76" s="49" t="n">
        <x:f>I75*'Assumptions'!$D$73</x:f>
        <x:v>22.099999999999998</x:v>
      </x:c>
      <x:c r="K76" s="1"/>
      <x:c r="L76" s="1"/>
      <x:c r="M76" s="1"/>
    </x:row>
    <x:row r="77" ht="22" customHeight="1">
      <x:c r="A77" s="1"/>
      <x:c r="B77" s="1"/>
      <x:c r="C77" s="1" t="str">
        <x:v>New / replacement active providers</x:v>
      </x:c>
      <x:c r="D77" s="11" t="n">
        <x:f>MAX(0,D75-D76)</x:f>
        <x:v>6</x:v>
      </x:c>
      <x:c r="E77" s="11" t="n">
        <x:f>MAX(0,E75-E76)</x:f>
        <x:v>6.9</x:v>
      </x:c>
      <x:c r="F77" s="11" t="n">
        <x:f>MAX(0,F75-F76)</x:f>
        <x:v>5.800000000000001</x:v>
      </x:c>
      <x:c r="G77" s="11" t="n">
        <x:f>MAX(0,G75-G76)</x:f>
        <x:v>7.4</x:v>
      </x:c>
      <x:c r="H77" s="11" t="n">
        <x:f>MAX(0,H75-H76)</x:f>
        <x:v>6.150000000000002</x:v>
      </x:c>
      <x:c r="I77" s="11" t="n">
        <x:f>MAX(0,I75-I76)</x:f>
        <x:v>5.600000000000001</x:v>
      </x:c>
      <x:c r="J77" s="11" t="n">
        <x:f>MAX(0,J75-J76)</x:f>
        <x:v>3.900000000000002</x:v>
      </x:c>
      <x:c r="K77" s="1"/>
      <x:c r="L77" s="1"/>
      <x:c r="M77" s="1"/>
    </x:row>
    <x:row r="78" ht="22" customHeight="1">
      <x:c r="A78" s="1"/>
      <x:c r="B78" s="1"/>
      <x:c r="C78" s="1" t="str">
        <x:v>Average payout-active providers</x:v>
      </x:c>
      <x:c r="D78" s="49" t="n">
        <x:f>D76+D77*'Assumptions'!$D$71</x:f>
        <x:v>3</x:v>
      </x:c>
      <x:c r="E78" s="49" t="n">
        <x:f>E76+E77*'Assumptions'!$D$71</x:f>
        <x:v>8.55</x:v>
      </x:c>
      <x:c r="F78" s="49" t="n">
        <x:f>F76+F77*'Assumptions'!$D$71</x:f>
        <x:v>13.1</x:v>
      </x:c>
      <x:c r="G78" s="49" t="n">
        <x:f>G76+G77*'Assumptions'!$D$71</x:f>
        <x:v>17.3</x:v>
      </x:c>
      <x:c r="H78" s="49" t="n">
        <x:f>H76+H77*'Assumptions'!$D$71</x:f>
        <x:v>20.924999999999997</x:v>
      </x:c>
      <x:c r="I78" s="49" t="n">
        <x:f>I76+I77*'Assumptions'!$D$71</x:f>
        <x:v>23.2</x:v>
      </x:c>
      <x:c r="J78" s="49" t="n">
        <x:f>J76+J77*'Assumptions'!$D$71</x:f>
        <x:v>24.049999999999997</x:v>
      </x:c>
      <x:c r="K78" s="1"/>
      <x:c r="L78" s="1"/>
      <x:c r="M78" s="1"/>
    </x:row>
    <x:row r="79" ht="22" customHeight="1">
      <x:c r="A79" s="1"/>
      <x:c r="B79" s="1"/>
      <x:c r="C79" s="1" t="str">
        <x:v>Cash acquisition spend</x:v>
      </x:c>
      <x:c r="D79" s="50" t="n">
        <x:f>D71*'Town inputs'!$F$45*(1-'Town inputs'!$D$66)^0*IF('Assumptions'!$D$3="Downside",'Town inputs'!$D$79,IF('Assumptions'!$D$3="Upside",'Town inputs'!$D$80,1))*(1+('Town inputs'!$D$103/'Town inputs'!$D$104-1)*0/6)</x:f>
        <x:v>13200</x:v>
      </x:c>
      <x:c r="E79" s="50" t="n">
        <x:f>E71*'Town inputs'!$F$45*(1-'Town inputs'!$D$66)^1*IF('Assumptions'!$D$3="Downside",'Town inputs'!$D$79,IF('Assumptions'!$D$3="Upside",'Town inputs'!$D$80,1))*(1+('Town inputs'!$D$103/'Town inputs'!$D$104-1)*1/6)</x:f>
        <x:v>14384.945936993206</x:v>
      </x:c>
      <x:c r="F79" s="50" t="n">
        <x:f>F71*'Town inputs'!$F$45*(1-'Town inputs'!$D$66)^2*IF('Assumptions'!$D$3="Downside",'Town inputs'!$D$79,IF('Assumptions'!$D$3="Upside",'Town inputs'!$D$80,1))*(1+('Town inputs'!$D$103/'Town inputs'!$D$104-1)*2/6)</x:f>
        <x:v>14460.86286346006</x:v>
      </x:c>
      <x:c r="G79" s="50" t="n">
        <x:f>G71*'Town inputs'!$F$45*(1-'Town inputs'!$D$66)^3*IF('Assumptions'!$D$3="Downside",'Town inputs'!$D$79,IF('Assumptions'!$D$3="Upside",'Town inputs'!$D$80,1))*(1+('Town inputs'!$D$103/'Town inputs'!$D$104-1)*3/6)</x:f>
        <x:v>13813.422839407816</x:v>
      </x:c>
      <x:c r="H79" s="50" t="n">
        <x:f>H71*'Town inputs'!$F$45*(1-'Town inputs'!$D$66)^4*IF('Assumptions'!$D$3="Downside",'Town inputs'!$D$79,IF('Assumptions'!$D$3="Upside",'Town inputs'!$D$80,1))*(1+('Town inputs'!$D$103/'Town inputs'!$D$104-1)*4/6)</x:f>
        <x:v>12626.323324737361</x:v>
      </x:c>
      <x:c r="I79" s="50" t="n">
        <x:f>I71*'Town inputs'!$F$45*(1-'Town inputs'!$D$66)^5*IF('Assumptions'!$D$3="Downside",'Town inputs'!$D$79,IF('Assumptions'!$D$3="Upside",'Town inputs'!$D$80,1))*(1+('Town inputs'!$D$103/'Town inputs'!$D$104-1)*5/6)</x:f>
        <x:v>9859.175414946707</x:v>
      </x:c>
      <x:c r="J79" s="50" t="n">
        <x:f>J71*'Town inputs'!$F$45*(1-'Town inputs'!$D$66)^6*IF('Assumptions'!$D$3="Downside",'Town inputs'!$D$79,IF('Assumptions'!$D$3="Upside",'Town inputs'!$D$80,1))*(1+('Town inputs'!$D$103/'Town inputs'!$D$104-1)*6/6)</x:f>
        <x:v>7694.750763768896</x:v>
      </x:c>
      <x:c r="K79" s="1"/>
      <x:c r="L79" s="1"/>
      <x:c r="M79" s="1"/>
    </x:row>
    <x:row r="80" ht="22" customHeight="1">
      <x:c r="A80" s="1"/>
      <x:c r="B80" s="1"/>
      <x:c r="C80" s="1" t="str">
        <x:v>Launch spend</x:v>
      </x:c>
      <x:c r="D80" s="50" t="n">
        <x:f>IF(D63=1,'Town inputs'!$G$45*(1+'Town inputs'!$D$67)^0,0)</x:f>
        <x:v>15000</x:v>
      </x:c>
      <x:c r="E80" s="50" t="n">
        <x:f>IF(E63=1,'Town inputs'!$G$45*(1+'Town inputs'!$D$67)^1,0)</x:f>
        <x:v>0</x:v>
      </x:c>
      <x:c r="F80" s="50" t="n">
        <x:f>IF(F63=1,'Town inputs'!$G$45*(1+'Town inputs'!$D$67)^2,0)</x:f>
        <x:v>0</x:v>
      </x:c>
      <x:c r="G80" s="50" t="n">
        <x:f>IF(G63=1,'Town inputs'!$G$45*(1+'Town inputs'!$D$67)^3,0)</x:f>
        <x:v>0</x:v>
      </x:c>
      <x:c r="H80" s="50" t="n">
        <x:f>IF(H63=1,'Town inputs'!$G$45*(1+'Town inputs'!$D$67)^4,0)</x:f>
        <x:v>0</x:v>
      </x:c>
      <x:c r="I80" s="50" t="n">
        <x:f>IF(I63=1,'Town inputs'!$G$45*(1+'Town inputs'!$D$67)^5,0)</x:f>
        <x:v>0</x:v>
      </x:c>
      <x:c r="J80" s="50" t="n">
        <x:f>IF(J63=1,'Town inputs'!$G$45*(1+'Town inputs'!$D$67)^6,0)</x:f>
        <x:v>0</x:v>
      </x:c>
      <x:c r="K80" s="1"/>
      <x:c r="L80" s="1"/>
      <x:c r="M80" s="1"/>
    </x:row>
    <x:row r="81" ht="22" customHeight="1">
      <x:c r="A81" s="1"/>
      <x:c r="B81" s="1"/>
      <x:c r="C81" s="1" t="str">
        <x:v>Annual local coverage</x:v>
      </x:c>
      <x:c r="D81" s="50" t="n">
        <x:f>IF(D63&gt;0,'Town inputs'!$H$45*(1+'Town inputs'!$D$67)^0*IF(D63=1,'Assumptions'!$D$71,1),0)</x:f>
        <x:v>3000</x:v>
      </x:c>
      <x:c r="E81" s="50" t="n">
        <x:f>IF(E63&gt;0,'Town inputs'!$H$45*(1+'Town inputs'!$D$67)^1*IF(E63=1,'Assumptions'!$D$71,1),0)</x:f>
        <x:v>6180</x:v>
      </x:c>
      <x:c r="F81" s="50" t="n">
        <x:f>IF(F63&gt;0,'Town inputs'!$H$45*(1+'Town inputs'!$D$67)^2*IF(F63=1,'Assumptions'!$D$71,1),0)</x:f>
        <x:v>6365.4</x:v>
      </x:c>
      <x:c r="G81" s="50" t="n">
        <x:f>IF(G63&gt;0,'Town inputs'!$H$45*(1+'Town inputs'!$D$67)^3*IF(G63=1,'Assumptions'!$D$71,1),0)</x:f>
        <x:v>6556.362</x:v>
      </x:c>
      <x:c r="H81" s="50" t="n">
        <x:f>IF(H63&gt;0,'Town inputs'!$H$45*(1+'Town inputs'!$D$67)^4*IF(H63=1,'Assumptions'!$D$71,1),0)</x:f>
        <x:v>6753.052860000001</x:v>
      </x:c>
      <x:c r="I81" s="50" t="n">
        <x:f>IF(I63&gt;0,'Town inputs'!$H$45*(1+'Town inputs'!$D$67)^5*IF(I63=1,'Assumptions'!$D$71,1),0)</x:f>
        <x:v>6955.6444458000005</x:v>
      </x:c>
      <x:c r="J81" s="50" t="n">
        <x:f>IF(J63&gt;0,'Town inputs'!$H$45*(1+'Town inputs'!$D$67)^6*IF(J63=1,'Assumptions'!$D$71,1),0)</x:f>
        <x:v>7164.313779174001</x:v>
      </x:c>
      <x:c r="K81" s="1"/>
      <x:c r="L81" s="1"/>
      <x:c r="M81" s="1"/>
    </x:row>
    <x:row r="82" ht="22" customHeight="1">
      <x:c r="A82" s="1"/>
      <x:c r="B82" s="1"/>
      <x:c r="C82" s="1"/>
      <x:c r="D82" s="6"/>
      <x:c r="E82" s="6"/>
      <x:c r="F82" s="6"/>
      <x:c r="G82" s="6"/>
      <x:c r="H82" s="6"/>
      <x:c r="I82" s="6"/>
      <x:c r="J82" s="6"/>
      <x:c r="K82" s="1"/>
      <x:c r="L82" s="1"/>
      <x:c r="M82" s="1"/>
    </x:row>
    <x:row r="83" ht="22" customHeight="1">
      <x:c r="A83" s="1"/>
      <x:c r="B83" s="1"/>
      <x:c r="C83" s="1"/>
      <x:c r="D83" s="6"/>
      <x:c r="E83" s="6"/>
      <x:c r="F83" s="6"/>
      <x:c r="G83" s="6"/>
      <x:c r="H83" s="6"/>
      <x:c r="I83" s="6"/>
      <x:c r="J83" s="6"/>
      <x:c r="K83" s="1"/>
      <x:c r="L83" s="1"/>
      <x:c r="M83" s="1"/>
    </x:row>
    <x:row r="84" ht="22" customHeight="1">
      <x:c r="A84" s="1"/>
      <x:c r="B84" s="1"/>
      <x:c r="C84" s="5" t="str">
        <x:v>Stafford | Ocean County</x:v>
      </x:c>
      <x:c r="D84" s="26"/>
      <x:c r="E84" s="26"/>
      <x:c r="F84" s="26"/>
      <x:c r="G84" s="26"/>
      <x:c r="H84" s="26"/>
      <x:c r="I84" s="26"/>
      <x:c r="J84" s="26"/>
      <x:c r="K84" s="1"/>
      <x:c r="L84" s="1"/>
      <x:c r="M84" s="1"/>
    </x:row>
    <x:row r="85" ht="22" customHeight="1">
      <x:c r="A85" s="1"/>
      <x:c r="B85" s="1"/>
      <x:c r="C85" s="1" t="str">
        <x:v>Years since launch</x:v>
      </x:c>
      <x:c r="D85" s="49" t="n">
        <x:f>MAX(0,2027-'Town inputs'!$D$27+1)</x:f>
        <x:v>0</x:v>
      </x:c>
      <x:c r="E85" s="49" t="n">
        <x:f>MAX(0,2028-'Town inputs'!$D$27+1)</x:f>
        <x:v>1</x:v>
      </x:c>
      <x:c r="F85" s="49" t="n">
        <x:f>MAX(0,2029-'Town inputs'!$D$27+1)</x:f>
        <x:v>2</x:v>
      </x:c>
      <x:c r="G85" s="49" t="n">
        <x:f>MAX(0,2030-'Town inputs'!$D$27+1)</x:f>
        <x:v>3</x:v>
      </x:c>
      <x:c r="H85" s="49" t="n">
        <x:f>MAX(0,2031-'Town inputs'!$D$27+1)</x:f>
        <x:v>4</x:v>
      </x:c>
      <x:c r="I85" s="49" t="n">
        <x:f>MAX(0,2032-'Town inputs'!$D$27+1)</x:f>
        <x:v>5</x:v>
      </x:c>
      <x:c r="J85" s="49" t="n">
        <x:f>MAX(0,2033-'Town inputs'!$D$27+1)</x:f>
        <x:v>6</x:v>
      </x:c>
      <x:c r="K85" s="1"/>
      <x:c r="L85" s="1"/>
      <x:c r="M85" s="1"/>
    </x:row>
    <x:row r="86" ht="22" customHeight="1">
      <x:c r="A86" s="1"/>
      <x:c r="B86" s="1"/>
      <x:c r="C86" s="1" t="str">
        <x:v>Assumed outsourcing pool</x:v>
      </x:c>
      <x:c r="D86" s="49" t="n">
        <x:f>IF(D85&gt;0,'Town inputs'!$D$8*'Town inputs'!$E$8*'Town inputs'!$E$27*MIN(1,'Town inputs'!$F$27*IF('Assumptions'!$D$3="Downside",'Town inputs'!$D$73,IF('Assumptions'!$D$3="Upside",'Town inputs'!$D$74,1))),0)</x:f>
        <x:v>0</x:v>
      </x:c>
      <x:c r="E86" s="49" t="n">
        <x:f>IF(E85&gt;0,'Town inputs'!$D$8*'Town inputs'!$E$8*'Town inputs'!$E$27*MIN(1,'Town inputs'!$F$27*IF('Assumptions'!$D$3="Downside",'Town inputs'!$D$73,IF('Assumptions'!$D$3="Upside",'Town inputs'!$D$74,1))),0)</x:f>
        <x:v>4770.62124</x:v>
      </x:c>
      <x:c r="F86" s="49" t="n">
        <x:f>IF(F85&gt;0,'Town inputs'!$D$8*'Town inputs'!$E$8*'Town inputs'!$E$27*MIN(1,'Town inputs'!$F$27*IF('Assumptions'!$D$3="Downside",'Town inputs'!$D$73,IF('Assumptions'!$D$3="Upside",'Town inputs'!$D$74,1))),0)</x:f>
        <x:v>4770.62124</x:v>
      </x:c>
      <x:c r="G86" s="49" t="n">
        <x:f>IF(G85&gt;0,'Town inputs'!$D$8*'Town inputs'!$E$8*'Town inputs'!$E$27*MIN(1,'Town inputs'!$F$27*IF('Assumptions'!$D$3="Downside",'Town inputs'!$D$73,IF('Assumptions'!$D$3="Upside",'Town inputs'!$D$74,1))),0)</x:f>
        <x:v>4770.62124</x:v>
      </x:c>
      <x:c r="H86" s="49" t="n">
        <x:f>IF(H85&gt;0,'Town inputs'!$D$8*'Town inputs'!$E$8*'Town inputs'!$E$27*MIN(1,'Town inputs'!$F$27*IF('Assumptions'!$D$3="Downside",'Town inputs'!$D$73,IF('Assumptions'!$D$3="Upside",'Town inputs'!$D$74,1))),0)</x:f>
        <x:v>4770.62124</x:v>
      </x:c>
      <x:c r="I86" s="49" t="n">
        <x:f>IF(I85&gt;0,'Town inputs'!$D$8*'Town inputs'!$E$8*'Town inputs'!$E$27*MIN(1,'Town inputs'!$F$27*IF('Assumptions'!$D$3="Downside",'Town inputs'!$D$73,IF('Assumptions'!$D$3="Upside",'Town inputs'!$D$74,1))),0)</x:f>
        <x:v>4770.62124</x:v>
      </x:c>
      <x:c r="J86" s="49" t="n">
        <x:f>IF(J85&gt;0,'Town inputs'!$D$8*'Town inputs'!$E$8*'Town inputs'!$E$27*MIN(1,'Town inputs'!$F$27*IF('Assumptions'!$D$3="Downside",'Town inputs'!$D$73,IF('Assumptions'!$D$3="Upside",'Town inputs'!$D$74,1))),0)</x:f>
        <x:v>4770.62124</x:v>
      </x:c>
      <x:c r="K86" s="1"/>
      <x:c r="L86" s="1"/>
      <x:c r="M86" s="1"/>
    </x:row>
    <x:row r="87" ht="22" customHeight="1">
      <x:c r="A87" s="1"/>
      <x:c r="B87" s="1"/>
      <x:c r="C87" s="1" t="str">
        <x:v>Opening active households</x:v>
      </x:c>
      <x:c r="D87" s="11" t="n">
        <x:f>0</x:f>
        <x:v>0</x:v>
      </x:c>
      <x:c r="E87" s="11" t="n">
        <x:f>D94</x:f>
        <x:v>0</x:v>
      </x:c>
      <x:c r="F87" s="11" t="n">
        <x:f>E94</x:f>
        <x:v>320</x:v>
      </x:c>
      <x:c r="G87" s="11" t="n">
        <x:f>F94</x:f>
        <x:v>640</x:v>
      </x:c>
      <x:c r="H87" s="11" t="n">
        <x:f>G94</x:f>
        <x:v>960</x:v>
      </x:c>
      <x:c r="I87" s="11" t="n">
        <x:f>H94</x:f>
        <x:v>1270.5749736</x:v>
      </x:c>
      <x:c r="J87" s="11" t="n">
        <x:f>I94</x:f>
        <x:v>1510.4193815040003</x:v>
      </x:c>
      <x:c r="K87" s="1"/>
      <x:c r="L87" s="1"/>
      <x:c r="M87" s="1"/>
    </x:row>
    <x:row r="88" ht="22" customHeight="1">
      <x:c r="A88" s="1"/>
      <x:c r="B88" s="1"/>
      <x:c r="C88" s="1" t="str">
        <x:v>Retained households</x:v>
      </x:c>
      <x:c r="D88" s="49" t="n">
        <x:f>D87*'Assumptions'!D12</x:f>
        <x:v>0</x:v>
      </x:c>
      <x:c r="E88" s="49" t="n">
        <x:f>E87*'Assumptions'!E12</x:f>
        <x:v>0</x:v>
      </x:c>
      <x:c r="F88" s="49" t="n">
        <x:f>F87*'Assumptions'!F12</x:f>
        <x:v>240</x:v>
      </x:c>
      <x:c r="G88" s="49" t="n">
        <x:f>G87*'Assumptions'!G12</x:f>
        <x:v>499.20000000000005</x:v>
      </x:c>
      <x:c r="H88" s="49" t="n">
        <x:f>H87*'Assumptions'!H12</x:f>
        <x:v>768</x:v>
      </x:c>
      <x:c r="I88" s="49" t="n">
        <x:f>I87*'Assumptions'!I12</x:f>
        <x:v>1016.4599788800001</x:v>
      </x:c>
      <x:c r="J88" s="49" t="n">
        <x:f>J87*'Assumptions'!J12</x:f>
        <x:v>1208.3355052032002</x:v>
      </x:c>
      <x:c r="K88" s="1"/>
      <x:c r="L88" s="1"/>
      <x:c r="M88" s="1"/>
    </x:row>
    <x:row r="89" ht="22" customHeight="1">
      <x:c r="A89" s="1"/>
      <x:c r="B89" s="1"/>
      <x:c r="C89" s="1" t="str">
        <x:v>Previously acquired households</x:v>
      </x:c>
      <x:c r="D89" s="11" t="n">
        <x:f>0</x:f>
        <x:v>0</x:v>
      </x:c>
      <x:c r="E89" s="11" t="n">
        <x:f>D96</x:f>
        <x:v>0</x:v>
      </x:c>
      <x:c r="F89" s="11" t="n">
        <x:f>E96</x:f>
        <x:v>320</x:v>
      </x:c>
      <x:c r="G89" s="11" t="n">
        <x:f>F96</x:f>
        <x:v>720</x:v>
      </x:c>
      <x:c r="H89" s="11" t="n">
        <x:f>G96</x:f>
        <x:v>1180.8</x:v>
      </x:c>
      <x:c r="I89" s="11" t="n">
        <x:f>H96</x:f>
        <x:v>1683.3749736</x:v>
      </x:c>
      <x:c r="J89" s="11" t="n">
        <x:f>I96</x:f>
        <x:v>2177.334376224</x:v>
      </x:c>
      <x:c r="K89" s="1"/>
      <x:c r="L89" s="1"/>
      <x:c r="M89" s="1"/>
    </x:row>
    <x:row r="90" ht="22" customHeight="1">
      <x:c r="A90" s="1"/>
      <x:c r="B90" s="1"/>
      <x:c r="C90" s="1" t="str">
        <x:v>Qualified provider capacity plan</x:v>
      </x:c>
      <x:c r="D90" s="49" t="n">
        <x:f>IF(D85=0,0,MIN(ROUNDUP('Town inputs'!$E$46*IF('Assumptions'!$D$3="Downside",'Town inputs'!$D$77,IF('Assumptions'!$D$3="Upside",'Town inputs'!$D$78,1)),0),ROUNDUP(('Town inputs'!$J$27+(D85-1)*'Town inputs'!$D$46)*IF('Assumptions'!$D$3="Downside",'Town inputs'!$D$77,IF('Assumptions'!$D$3="Upside",'Town inputs'!$D$78,1)),0)))</x:f>
        <x:v>0</x:v>
      </x:c>
      <x:c r="E90" s="49" t="n">
        <x:f>IF(E85=0,0,MIN(ROUNDUP('Town inputs'!$E$46*IF('Assumptions'!$D$3="Downside",'Town inputs'!$D$77,IF('Assumptions'!$D$3="Upside",'Town inputs'!$D$78,1)),0),ROUNDUP(('Town inputs'!$J$27+(E85-1)*'Town inputs'!$D$46)*IF('Assumptions'!$D$3="Downside",'Town inputs'!$D$77,IF('Assumptions'!$D$3="Upside",'Town inputs'!$D$78,1)),0)))</x:f>
        <x:v>8</x:v>
      </x:c>
      <x:c r="F90" s="49" t="n">
        <x:f>IF(F85=0,0,MIN(ROUNDUP('Town inputs'!$E$46*IF('Assumptions'!$D$3="Downside",'Town inputs'!$D$77,IF('Assumptions'!$D$3="Upside",'Town inputs'!$D$78,1)),0),ROUNDUP(('Town inputs'!$J$27+(F85-1)*'Town inputs'!$D$46)*IF('Assumptions'!$D$3="Downside",'Town inputs'!$D$77,IF('Assumptions'!$D$3="Upside",'Town inputs'!$D$78,1)),0)))</x:f>
        <x:v>16</x:v>
      </x:c>
      <x:c r="G90" s="49" t="n">
        <x:f>IF(G85=0,0,MIN(ROUNDUP('Town inputs'!$E$46*IF('Assumptions'!$D$3="Downside",'Town inputs'!$D$77,IF('Assumptions'!$D$3="Upside",'Town inputs'!$D$78,1)),0),ROUNDUP(('Town inputs'!$J$27+(G85-1)*'Town inputs'!$D$46)*IF('Assumptions'!$D$3="Downside",'Town inputs'!$D$77,IF('Assumptions'!$D$3="Upside",'Town inputs'!$D$78,1)),0)))</x:f>
        <x:v>24</x:v>
      </x:c>
      <x:c r="H90" s="49" t="n">
        <x:f>IF(H85=0,0,MIN(ROUNDUP('Town inputs'!$E$46*IF('Assumptions'!$D$3="Downside",'Town inputs'!$D$77,IF('Assumptions'!$D$3="Upside",'Town inputs'!$D$78,1)),0),ROUNDUP(('Town inputs'!$J$27+(H85-1)*'Town inputs'!$D$46)*IF('Assumptions'!$D$3="Downside",'Town inputs'!$D$77,IF('Assumptions'!$D$3="Upside",'Town inputs'!$D$78,1)),0)))</x:f>
        <x:v>32</x:v>
      </x:c>
      <x:c r="I90" s="49" t="n">
        <x:f>IF(I85=0,0,MIN(ROUNDUP('Town inputs'!$E$46*IF('Assumptions'!$D$3="Downside",'Town inputs'!$D$77,IF('Assumptions'!$D$3="Upside",'Town inputs'!$D$78,1)),0),ROUNDUP(('Town inputs'!$J$27+(I85-1)*'Town inputs'!$D$46)*IF('Assumptions'!$D$3="Downside",'Town inputs'!$D$77,IF('Assumptions'!$D$3="Upside",'Town inputs'!$D$78,1)),0)))</x:f>
        <x:v>40</x:v>
      </x:c>
      <x:c r="J90" s="49" t="n">
        <x:f>IF(J85=0,0,MIN(ROUNDUP('Town inputs'!$E$46*IF('Assumptions'!$D$3="Downside",'Town inputs'!$D$77,IF('Assumptions'!$D$3="Upside",'Town inputs'!$D$78,1)),0),ROUNDUP(('Town inputs'!$J$27+(J85-1)*'Town inputs'!$D$46)*IF('Assumptions'!$D$3="Downside",'Town inputs'!$D$77,IF('Assumptions'!$D$3="Upside",'Town inputs'!$D$78,1)),0)))</x:f>
        <x:v>48</x:v>
      </x:c>
      <x:c r="K90" s="1"/>
      <x:c r="L90" s="1"/>
      <x:c r="M90" s="1"/>
    </x:row>
    <x:row r="91" ht="22" customHeight="1">
      <x:c r="A91" s="1"/>
      <x:c r="B91" s="1"/>
      <x:c r="C91" s="1" t="str">
        <x:v>Household capacity</x:v>
      </x:c>
      <x:c r="D91" s="49" t="n">
        <x:f>D90*'Assumptions'!$D$72</x:f>
        <x:v>0</x:v>
      </x:c>
      <x:c r="E91" s="49" t="n">
        <x:f>E90*'Assumptions'!$D$72</x:f>
        <x:v>320</x:v>
      </x:c>
      <x:c r="F91" s="49" t="n">
        <x:f>F90*'Assumptions'!$D$72</x:f>
        <x:v>640</x:v>
      </x:c>
      <x:c r="G91" s="49" t="n">
        <x:f>G90*'Assumptions'!$D$72</x:f>
        <x:v>960</x:v>
      </x:c>
      <x:c r="H91" s="49" t="n">
        <x:f>H90*'Assumptions'!$D$72</x:f>
        <x:v>1280</x:v>
      </x:c>
      <x:c r="I91" s="49" t="n">
        <x:f>I90*'Assumptions'!$D$72</x:f>
        <x:v>1600</x:v>
      </x:c>
      <x:c r="J91" s="49" t="n">
        <x:f>J90*'Assumptions'!$D$72</x:f>
        <x:v>1920</x:v>
      </x:c>
      <x:c r="K91" s="1"/>
      <x:c r="L91" s="1"/>
      <x:c r="M91" s="1"/>
    </x:row>
    <x:row r="92" ht="22" customHeight="1">
      <x:c r="A92" s="1"/>
      <x:c r="B92" s="1"/>
      <x:c r="C92" s="1" t="str">
        <x:v>Unconstrained new demand</x:v>
      </x:c>
      <x:c r="D92" s="49" t="n">
        <x:f>MAX(0,D86-D89)*MIN(1,MIN('Town inputs'!$D$65,'Town inputs'!$D$63+MAX(0,D85-1)*'Town inputs'!$D$64)*IF('Assumptions'!$D$3="Downside",'Town inputs'!$D$75,IF('Assumptions'!$D$3="Upside",'Town inputs'!$D$76,1)))</x:f>
        <x:v>0</x:v>
      </x:c>
      <x:c r="E92" s="49" t="n">
        <x:f>MAX(0,E86-E89)*MIN(1,MIN('Town inputs'!$D$65,'Town inputs'!$D$63+MAX(0,E85-1)*'Town inputs'!$D$64)*IF('Assumptions'!$D$3="Downside",'Town inputs'!$D$75,IF('Assumptions'!$D$3="Upside",'Town inputs'!$D$76,1)))</x:f>
        <x:v>381.64969920000004</x:v>
      </x:c>
      <x:c r="F92" s="49" t="n">
        <x:f>MAX(0,F86-F89)*MIN(1,MIN('Town inputs'!$D$65,'Town inputs'!$D$63+MAX(0,F85-1)*'Town inputs'!$D$64)*IF('Assumptions'!$D$3="Downside",'Town inputs'!$D$75,IF('Assumptions'!$D$3="Upside",'Town inputs'!$D$76,1)))</x:f>
        <x:v>445.06212400000004</x:v>
      </x:c>
      <x:c r="G92" s="49" t="n">
        <x:f>MAX(0,G86-G89)*MIN(1,MIN('Town inputs'!$D$65,'Town inputs'!$D$63+MAX(0,G85-1)*'Town inputs'!$D$64)*IF('Assumptions'!$D$3="Downside",'Town inputs'!$D$75,IF('Assumptions'!$D$3="Upside",'Town inputs'!$D$76,1)))</x:f>
        <x:v>486.0745488</x:v>
      </x:c>
      <x:c r="H92" s="49" t="n">
        <x:f>MAX(0,H86-H89)*MIN(1,MIN('Town inputs'!$D$65,'Town inputs'!$D$63+MAX(0,H85-1)*'Town inputs'!$D$64)*IF('Assumptions'!$D$3="Downside",'Town inputs'!$D$75,IF('Assumptions'!$D$3="Upside",'Town inputs'!$D$76,1)))</x:f>
        <x:v>502.5749736000001</x:v>
      </x:c>
      <x:c r="I92" s="49" t="n">
        <x:f>MAX(0,I86-I89)*MIN(1,MIN('Town inputs'!$D$65,'Town inputs'!$D$63+MAX(0,I85-1)*'Town inputs'!$D$64)*IF('Assumptions'!$D$3="Downside",'Town inputs'!$D$75,IF('Assumptions'!$D$3="Upside",'Town inputs'!$D$76,1)))</x:f>
        <x:v>493.95940262400006</x:v>
      </x:c>
      <x:c r="J92" s="49" t="n">
        <x:f>MAX(0,J86-J89)*MIN(1,MIN('Town inputs'!$D$65,'Town inputs'!$D$63+MAX(0,J85-1)*'Town inputs'!$D$64)*IF('Assumptions'!$D$3="Downside",'Town inputs'!$D$75,IF('Assumptions'!$D$3="Upside",'Town inputs'!$D$76,1)))</x:f>
        <x:v>414.92589820416003</x:v>
      </x:c>
      <x:c r="K92" s="1"/>
      <x:c r="L92" s="1"/>
      <x:c r="M92" s="1"/>
    </x:row>
    <x:row r="93" ht="22" customHeight="1">
      <x:c r="A93" s="1"/>
      <x:c r="B93" s="1"/>
      <x:c r="C93" s="1" t="str">
        <x:v>New first-time households</x:v>
      </x:c>
      <x:c r="D93" s="11" t="n">
        <x:f>MIN(D92,MAX(0,D91-D88))</x:f>
        <x:v>0</x:v>
      </x:c>
      <x:c r="E93" s="11" t="n">
        <x:f>MIN(E92,MAX(0,E91-E88))</x:f>
        <x:v>320</x:v>
      </x:c>
      <x:c r="F93" s="11" t="n">
        <x:f>MIN(F92,MAX(0,F91-F88))</x:f>
        <x:v>400</x:v>
      </x:c>
      <x:c r="G93" s="11" t="n">
        <x:f>MIN(G92,MAX(0,G91-G88))</x:f>
        <x:v>460.79999999999995</x:v>
      </x:c>
      <x:c r="H93" s="11" t="n">
        <x:f>MIN(H92,MAX(0,H91-H88))</x:f>
        <x:v>502.5749736000001</x:v>
      </x:c>
      <x:c r="I93" s="11" t="n">
        <x:f>MIN(I92,MAX(0,I91-I88))</x:f>
        <x:v>493.95940262400006</x:v>
      </x:c>
      <x:c r="J93" s="11" t="n">
        <x:f>MIN(J92,MAX(0,J91-J88))</x:f>
        <x:v>414.92589820416003</x:v>
      </x:c>
      <x:c r="K93" s="1"/>
      <x:c r="L93" s="1"/>
      <x:c r="M93" s="1"/>
    </x:row>
    <x:row r="94" ht="22" customHeight="1">
      <x:c r="A94" s="1"/>
      <x:c r="B94" s="1"/>
      <x:c r="C94" s="1" t="str">
        <x:v>Ending active households</x:v>
      </x:c>
      <x:c r="D94" s="11" t="n">
        <x:f>D88+D93</x:f>
        <x:v>0</x:v>
      </x:c>
      <x:c r="E94" s="11" t="n">
        <x:f>E88+E93</x:f>
        <x:v>320</x:v>
      </x:c>
      <x:c r="F94" s="11" t="n">
        <x:f>F88+F93</x:f>
        <x:v>640</x:v>
      </x:c>
      <x:c r="G94" s="11" t="n">
        <x:f>G88+G93</x:f>
        <x:v>960</x:v>
      </x:c>
      <x:c r="H94" s="11" t="n">
        <x:f>H88+H93</x:f>
        <x:v>1270.5749736</x:v>
      </x:c>
      <x:c r="I94" s="11" t="n">
        <x:f>I88+I93</x:f>
        <x:v>1510.4193815040003</x:v>
      </x:c>
      <x:c r="J94" s="11" t="n">
        <x:f>J88+J93</x:f>
        <x:v>1623.2614034073604</x:v>
      </x:c>
      <x:c r="K94" s="1"/>
      <x:c r="L94" s="1"/>
      <x:c r="M94" s="1"/>
    </x:row>
    <x:row r="95" ht="22" customHeight="1">
      <x:c r="A95" s="1"/>
      <x:c r="B95" s="1"/>
      <x:c r="C95" s="1" t="str">
        <x:v>Full-season equivalent households</x:v>
      </x:c>
      <x:c r="D95" s="49" t="n">
        <x:f>D88+D93*'Assumptions'!$D$71</x:f>
        <x:v>0</x:v>
      </x:c>
      <x:c r="E95" s="49" t="n">
        <x:f>E88+E93*'Assumptions'!$D$71</x:f>
        <x:v>160</x:v>
      </x:c>
      <x:c r="F95" s="49" t="n">
        <x:f>F88+F93*'Assumptions'!$D$71</x:f>
        <x:v>440</x:v>
      </x:c>
      <x:c r="G95" s="49" t="n">
        <x:f>G88+G93*'Assumptions'!$D$71</x:f>
        <x:v>729.6</x:v>
      </x:c>
      <x:c r="H95" s="49" t="n">
        <x:f>H88+H93*'Assumptions'!$D$71</x:f>
        <x:v>1019.2874868</x:v>
      </x:c>
      <x:c r="I95" s="49" t="n">
        <x:f>I88+I93*'Assumptions'!$D$71</x:f>
        <x:v>1263.4396801920002</x:v>
      </x:c>
      <x:c r="J95" s="49" t="n">
        <x:f>J88+J93*'Assumptions'!$D$71</x:f>
        <x:v>1415.7984543052803</x:v>
      </x:c>
      <x:c r="K95" s="1"/>
      <x:c r="L95" s="1"/>
      <x:c r="M95" s="1"/>
    </x:row>
    <x:row r="96" ht="22" customHeight="1">
      <x:c r="A96" s="1"/>
      <x:c r="B96" s="1"/>
      <x:c r="C96" s="1" t="str">
        <x:v>Cumulative ever-acquired households</x:v>
      </x:c>
      <x:c r="D96" s="11" t="n">
        <x:f>D89+D93</x:f>
        <x:v>0</x:v>
      </x:c>
      <x:c r="E96" s="11" t="n">
        <x:f>E89+E93</x:f>
        <x:v>320</x:v>
      </x:c>
      <x:c r="F96" s="11" t="n">
        <x:f>F89+F93</x:f>
        <x:v>720</x:v>
      </x:c>
      <x:c r="G96" s="11" t="n">
        <x:f>G89+G93</x:f>
        <x:v>1180.8</x:v>
      </x:c>
      <x:c r="H96" s="11" t="n">
        <x:f>H89+H93</x:f>
        <x:v>1683.3749736</x:v>
      </x:c>
      <x:c r="I96" s="11" t="n">
        <x:f>I89+I93</x:f>
        <x:v>2177.334376224</x:v>
      </x:c>
      <x:c r="J96" s="11" t="n">
        <x:f>J89+J93</x:f>
        <x:v>2592.2602744281603</x:v>
      </x:c>
      <x:c r="K96" s="1"/>
      <x:c r="L96" s="1"/>
      <x:c r="M96" s="1"/>
    </x:row>
    <x:row r="97" ht="22" customHeight="1">
      <x:c r="A97" s="1"/>
      <x:c r="B97" s="1"/>
      <x:c r="C97" s="1" t="str">
        <x:v>Ending payout-active providers</x:v>
      </x:c>
      <x:c r="D97" s="49" t="n">
        <x:f>MIN(D90,ROUNDUP(D94/'Assumptions'!$D$72,0))</x:f>
        <x:v>0</x:v>
      </x:c>
      <x:c r="E97" s="49" t="n">
        <x:f>MIN(E90,ROUNDUP(E94/'Assumptions'!$D$72,0))</x:f>
        <x:v>8</x:v>
      </x:c>
      <x:c r="F97" s="49" t="n">
        <x:f>MIN(F90,ROUNDUP(F94/'Assumptions'!$D$72,0))</x:f>
        <x:v>16</x:v>
      </x:c>
      <x:c r="G97" s="49" t="n">
        <x:f>MIN(G90,ROUNDUP(G94/'Assumptions'!$D$72,0))</x:f>
        <x:v>24</x:v>
      </x:c>
      <x:c r="H97" s="49" t="n">
        <x:f>MIN(H90,ROUNDUP(H94/'Assumptions'!$D$72,0))</x:f>
        <x:v>32</x:v>
      </x:c>
      <x:c r="I97" s="49" t="n">
        <x:f>MIN(I90,ROUNDUP(I94/'Assumptions'!$D$72,0))</x:f>
        <x:v>38</x:v>
      </x:c>
      <x:c r="J97" s="49" t="n">
        <x:f>MIN(J90,ROUNDUP(J94/'Assumptions'!$D$72,0))</x:f>
        <x:v>41</x:v>
      </x:c>
      <x:c r="K97" s="1"/>
      <x:c r="L97" s="1"/>
      <x:c r="M97" s="1"/>
    </x:row>
    <x:row r="98" ht="22" customHeight="1">
      <x:c r="A98" s="1"/>
      <x:c r="B98" s="1"/>
      <x:c r="C98" s="1" t="str">
        <x:v>Retained active providers</x:v>
      </x:c>
      <x:c r="D98" s="11" t="n">
        <x:f>0</x:f>
        <x:v>0</x:v>
      </x:c>
      <x:c r="E98" s="49" t="n">
        <x:f>D97*'Assumptions'!$D$73</x:f>
        <x:v>0</x:v>
      </x:c>
      <x:c r="F98" s="49" t="n">
        <x:f>E97*'Assumptions'!$D$73</x:f>
        <x:v>6.8</x:v>
      </x:c>
      <x:c r="G98" s="49" t="n">
        <x:f>F97*'Assumptions'!$D$73</x:f>
        <x:v>13.6</x:v>
      </x:c>
      <x:c r="H98" s="49" t="n">
        <x:f>G97*'Assumptions'!$D$73</x:f>
        <x:v>20.4</x:v>
      </x:c>
      <x:c r="I98" s="49" t="n">
        <x:f>H97*'Assumptions'!$D$73</x:f>
        <x:v>27.2</x:v>
      </x:c>
      <x:c r="J98" s="49" t="n">
        <x:f>I97*'Assumptions'!$D$73</x:f>
        <x:v>32.3</x:v>
      </x:c>
      <x:c r="K98" s="1"/>
      <x:c r="L98" s="1"/>
      <x:c r="M98" s="1"/>
    </x:row>
    <x:row r="99" ht="22" customHeight="1">
      <x:c r="A99" s="1"/>
      <x:c r="B99" s="1"/>
      <x:c r="C99" s="1" t="str">
        <x:v>New / replacement active providers</x:v>
      </x:c>
      <x:c r="D99" s="11" t="n">
        <x:f>MAX(0,D97-D98)</x:f>
        <x:v>0</x:v>
      </x:c>
      <x:c r="E99" s="11" t="n">
        <x:f>MAX(0,E97-E98)</x:f>
        <x:v>8</x:v>
      </x:c>
      <x:c r="F99" s="11" t="n">
        <x:f>MAX(0,F97-F98)</x:f>
        <x:v>9.2</x:v>
      </x:c>
      <x:c r="G99" s="11" t="n">
        <x:f>MAX(0,G97-G98)</x:f>
        <x:v>10.4</x:v>
      </x:c>
      <x:c r="H99" s="11" t="n">
        <x:f>MAX(0,H97-H98)</x:f>
        <x:v>11.600000000000001</x:v>
      </x:c>
      <x:c r="I99" s="11" t="n">
        <x:f>MAX(0,I97-I98)</x:f>
        <x:v>10.8</x:v>
      </x:c>
      <x:c r="J99" s="11" t="n">
        <x:f>MAX(0,J97-J98)</x:f>
        <x:v>8.700000000000003</x:v>
      </x:c>
      <x:c r="K99" s="1"/>
      <x:c r="L99" s="1"/>
      <x:c r="M99" s="1"/>
    </x:row>
    <x:row r="100" ht="22" customHeight="1">
      <x:c r="A100" s="1"/>
      <x:c r="B100" s="1"/>
      <x:c r="C100" s="1" t="str">
        <x:v>Average payout-active providers</x:v>
      </x:c>
      <x:c r="D100" s="49" t="n">
        <x:f>D98+D99*'Assumptions'!$D$71</x:f>
        <x:v>0</x:v>
      </x:c>
      <x:c r="E100" s="49" t="n">
        <x:f>E98+E99*'Assumptions'!$D$71</x:f>
        <x:v>4</x:v>
      </x:c>
      <x:c r="F100" s="49" t="n">
        <x:f>F98+F99*'Assumptions'!$D$71</x:f>
        <x:v>11.399999999999999</x:v>
      </x:c>
      <x:c r="G100" s="49" t="n">
        <x:f>G98+G99*'Assumptions'!$D$71</x:f>
        <x:v>18.8</x:v>
      </x:c>
      <x:c r="H100" s="49" t="n">
        <x:f>H98+H99*'Assumptions'!$D$71</x:f>
        <x:v>26.2</x:v>
      </x:c>
      <x:c r="I100" s="49" t="n">
        <x:f>I98+I99*'Assumptions'!$D$71</x:f>
        <x:v>32.6</x:v>
      </x:c>
      <x:c r="J100" s="49" t="n">
        <x:f>J98+J99*'Assumptions'!$D$71</x:f>
        <x:v>36.65</x:v>
      </x:c>
      <x:c r="K100" s="1"/>
      <x:c r="L100" s="1"/>
      <x:c r="M100" s="1"/>
    </x:row>
    <x:row r="101" ht="22" customHeight="1">
      <x:c r="A101" s="1"/>
      <x:c r="B101" s="1"/>
      <x:c r="C101" s="1" t="str">
        <x:v>Cash acquisition spend</x:v>
      </x:c>
      <x:c r="D101" s="50" t="n">
        <x:f>D93*'Town inputs'!$F$46*(1-'Town inputs'!$D$66)^0*IF('Assumptions'!$D$3="Downside",'Town inputs'!$D$79,IF('Assumptions'!$D$3="Upside",'Town inputs'!$D$80,1))*(1+('Town inputs'!$D$103/'Town inputs'!$D$104-1)*0/6)</x:f>
        <x:v>0</x:v>
      </x:c>
      <x:c r="E101" s="50" t="n">
        <x:f>E93*'Town inputs'!$F$46*(1-'Town inputs'!$D$66)^1*IF('Assumptions'!$D$3="Downside",'Town inputs'!$D$79,IF('Assumptions'!$D$3="Upside",'Town inputs'!$D$80,1))*(1+('Town inputs'!$D$103/'Town inputs'!$D$104-1)*1/6)</x:f>
        <x:v>19368.80166802583</x:v>
      </x:c>
      <x:c r="F101" s="50" t="n">
        <x:f>F93*'Town inputs'!$F$46*(1-'Town inputs'!$D$66)^2*IF('Assumptions'!$D$3="Downside",'Town inputs'!$D$79,IF('Assumptions'!$D$3="Upside",'Town inputs'!$D$80,1))*(1+('Town inputs'!$D$103/'Town inputs'!$D$104-1)*2/6)</x:f>
        <x:v>22535.903961561344</x:v>
      </x:c>
      <x:c r="G101" s="50" t="n">
        <x:f>G93*'Town inputs'!$F$46*(1-'Town inputs'!$D$66)^3*IF('Assumptions'!$D$3="Downside",'Town inputs'!$D$79,IF('Assumptions'!$D$3="Upside",'Town inputs'!$D$80,1))*(1+('Town inputs'!$D$103/'Town inputs'!$D$104-1)*3/6)</x:f>
        <x:v>24154.8919432991</x:v>
      </x:c>
      <x:c r="H101" s="50" t="n">
        <x:f>H93*'Town inputs'!$F$46*(1-'Town inputs'!$D$66)^4*IF('Assumptions'!$D$3="Downside",'Town inputs'!$D$79,IF('Assumptions'!$D$3="Upside",'Town inputs'!$D$80,1))*(1+('Town inputs'!$D$103/'Town inputs'!$D$104-1)*4/6)</x:f>
        <x:v>24500.711079232875</x:v>
      </x:c>
      <x:c r="I101" s="50" t="n">
        <x:f>I93*'Town inputs'!$F$46*(1-'Town inputs'!$D$66)^5*IF('Assumptions'!$D$3="Downside",'Town inputs'!$D$79,IF('Assumptions'!$D$3="Upside",'Town inputs'!$D$80,1))*(1+('Town inputs'!$D$103/'Town inputs'!$D$104-1)*5/6)</x:f>
        <x:v>22384.81392424576</x:v>
      </x:c>
      <x:c r="J101" s="50" t="n">
        <x:f>J93*'Town inputs'!$F$46*(1-'Town inputs'!$D$66)^6*IF('Assumptions'!$D$3="Downside",'Town inputs'!$D$79,IF('Assumptions'!$D$3="Upside",'Town inputs'!$D$80,1))*(1+('Town inputs'!$D$103/'Town inputs'!$D$104-1)*6/6)</x:f>
        <x:v>17470.585195115495</x:v>
      </x:c>
      <x:c r="K101" s="1"/>
      <x:c r="L101" s="1"/>
      <x:c r="M101" s="1"/>
    </x:row>
    <x:row r="102" ht="22" customHeight="1">
      <x:c r="A102" s="1"/>
      <x:c r="B102" s="1"/>
      <x:c r="C102" s="1" t="str">
        <x:v>Launch spend</x:v>
      </x:c>
      <x:c r="D102" s="50" t="n">
        <x:f>IF(D85=1,'Town inputs'!$G$46*(1+'Town inputs'!$D$67)^0,0)</x:f>
        <x:v>0</x:v>
      </x:c>
      <x:c r="E102" s="50" t="n">
        <x:f>IF(E85=1,'Town inputs'!$G$46*(1+'Town inputs'!$D$67)^1,0)</x:f>
        <x:v>15450</x:v>
      </x:c>
      <x:c r="F102" s="50" t="n">
        <x:f>IF(F85=1,'Town inputs'!$G$46*(1+'Town inputs'!$D$67)^2,0)</x:f>
        <x:v>0</x:v>
      </x:c>
      <x:c r="G102" s="50" t="n">
        <x:f>IF(G85=1,'Town inputs'!$G$46*(1+'Town inputs'!$D$67)^3,0)</x:f>
        <x:v>0</x:v>
      </x:c>
      <x:c r="H102" s="50" t="n">
        <x:f>IF(H85=1,'Town inputs'!$G$46*(1+'Town inputs'!$D$67)^4,0)</x:f>
        <x:v>0</x:v>
      </x:c>
      <x:c r="I102" s="50" t="n">
        <x:f>IF(I85=1,'Town inputs'!$G$46*(1+'Town inputs'!$D$67)^5,0)</x:f>
        <x:v>0</x:v>
      </x:c>
      <x:c r="J102" s="50" t="n">
        <x:f>IF(J85=1,'Town inputs'!$G$46*(1+'Town inputs'!$D$67)^6,0)</x:f>
        <x:v>0</x:v>
      </x:c>
      <x:c r="K102" s="1"/>
      <x:c r="L102" s="1"/>
      <x:c r="M102" s="1"/>
    </x:row>
    <x:row r="103" ht="22" customHeight="1">
      <x:c r="A103" s="1"/>
      <x:c r="B103" s="1"/>
      <x:c r="C103" s="1" t="str">
        <x:v>Annual local coverage</x:v>
      </x:c>
      <x:c r="D103" s="50" t="n">
        <x:f>IF(D85&gt;0,'Town inputs'!$H$46*(1+'Town inputs'!$D$67)^0*IF(D85=1,'Assumptions'!$D$71,1),0)</x:f>
        <x:v>0</x:v>
      </x:c>
      <x:c r="E103" s="50" t="n">
        <x:f>IF(E85&gt;0,'Town inputs'!$H$46*(1+'Town inputs'!$D$67)^1*IF(E85=1,'Assumptions'!$D$71,1),0)</x:f>
        <x:v>3090</x:v>
      </x:c>
      <x:c r="F103" s="50" t="n">
        <x:f>IF(F85&gt;0,'Town inputs'!$H$46*(1+'Town inputs'!$D$67)^2*IF(F85=1,'Assumptions'!$D$71,1),0)</x:f>
        <x:v>6365.4</x:v>
      </x:c>
      <x:c r="G103" s="50" t="n">
        <x:f>IF(G85&gt;0,'Town inputs'!$H$46*(1+'Town inputs'!$D$67)^3*IF(G85=1,'Assumptions'!$D$71,1),0)</x:f>
        <x:v>6556.362</x:v>
      </x:c>
      <x:c r="H103" s="50" t="n">
        <x:f>IF(H85&gt;0,'Town inputs'!$H$46*(1+'Town inputs'!$D$67)^4*IF(H85=1,'Assumptions'!$D$71,1),0)</x:f>
        <x:v>6753.052860000001</x:v>
      </x:c>
      <x:c r="I103" s="50" t="n">
        <x:f>IF(I85&gt;0,'Town inputs'!$H$46*(1+'Town inputs'!$D$67)^5*IF(I85=1,'Assumptions'!$D$71,1),0)</x:f>
        <x:v>6955.6444458000005</x:v>
      </x:c>
      <x:c r="J103" s="50" t="n">
        <x:f>IF(J85&gt;0,'Town inputs'!$H$46*(1+'Town inputs'!$D$67)^6*IF(J85=1,'Assumptions'!$D$71,1),0)</x:f>
        <x:v>7164.313779174001</x:v>
      </x:c>
      <x:c r="K103" s="1"/>
      <x:c r="L103" s="1"/>
      <x:c r="M103" s="1"/>
    </x:row>
    <x:row r="104" ht="22" customHeight="1">
      <x:c r="A104" s="1"/>
      <x:c r="B104" s="1"/>
      <x:c r="C104" s="1"/>
      <x:c r="D104" s="6"/>
      <x:c r="E104" s="6"/>
      <x:c r="F104" s="6"/>
      <x:c r="G104" s="6"/>
      <x:c r="H104" s="6"/>
      <x:c r="I104" s="6"/>
      <x:c r="J104" s="6"/>
      <x:c r="K104" s="1"/>
      <x:c r="L104" s="1"/>
      <x:c r="M104" s="1"/>
    </x:row>
    <x:row r="105" ht="22" customHeight="1">
      <x:c r="A105" s="1"/>
      <x:c r="B105" s="1"/>
      <x:c r="C105" s="1"/>
      <x:c r="D105" s="6"/>
      <x:c r="E105" s="6"/>
      <x:c r="F105" s="6"/>
      <x:c r="G105" s="6"/>
      <x:c r="H105" s="6"/>
      <x:c r="I105" s="6"/>
      <x:c r="J105" s="6"/>
      <x:c r="K105" s="1"/>
      <x:c r="L105" s="1"/>
      <x:c r="M105" s="1"/>
    </x:row>
    <x:row r="106" ht="22" customHeight="1">
      <x:c r="A106" s="1"/>
      <x:c r="B106" s="1"/>
      <x:c r="C106" s="5" t="str">
        <x:v>Lacey | Ocean County</x:v>
      </x:c>
      <x:c r="D106" s="26"/>
      <x:c r="E106" s="26"/>
      <x:c r="F106" s="26"/>
      <x:c r="G106" s="26"/>
      <x:c r="H106" s="26"/>
      <x:c r="I106" s="26"/>
      <x:c r="J106" s="26"/>
      <x:c r="K106" s="1"/>
      <x:c r="L106" s="1"/>
      <x:c r="M106" s="1"/>
    </x:row>
    <x:row r="107" ht="22" customHeight="1">
      <x:c r="A107" s="1"/>
      <x:c r="B107" s="1"/>
      <x:c r="C107" s="1" t="str">
        <x:v>Years since launch</x:v>
      </x:c>
      <x:c r="D107" s="49" t="n">
        <x:f>MAX(0,2027-'Town inputs'!$D$28+1)</x:f>
        <x:v>0</x:v>
      </x:c>
      <x:c r="E107" s="49" t="n">
        <x:f>MAX(0,2028-'Town inputs'!$D$28+1)</x:f>
        <x:v>1</x:v>
      </x:c>
      <x:c r="F107" s="49" t="n">
        <x:f>MAX(0,2029-'Town inputs'!$D$28+1)</x:f>
        <x:v>2</x:v>
      </x:c>
      <x:c r="G107" s="49" t="n">
        <x:f>MAX(0,2030-'Town inputs'!$D$28+1)</x:f>
        <x:v>3</x:v>
      </x:c>
      <x:c r="H107" s="49" t="n">
        <x:f>MAX(0,2031-'Town inputs'!$D$28+1)</x:f>
        <x:v>4</x:v>
      </x:c>
      <x:c r="I107" s="49" t="n">
        <x:f>MAX(0,2032-'Town inputs'!$D$28+1)</x:f>
        <x:v>5</x:v>
      </x:c>
      <x:c r="J107" s="49" t="n">
        <x:f>MAX(0,2033-'Town inputs'!$D$28+1)</x:f>
        <x:v>6</x:v>
      </x:c>
      <x:c r="K107" s="1"/>
      <x:c r="L107" s="1"/>
      <x:c r="M107" s="1"/>
    </x:row>
    <x:row r="108" ht="22" customHeight="1">
      <x:c r="A108" s="1"/>
      <x:c r="B108" s="1"/>
      <x:c r="C108" s="1" t="str">
        <x:v>Assumed outsourcing pool</x:v>
      </x:c>
      <x:c r="D108" s="49" t="n">
        <x:f>IF(D107&gt;0,'Town inputs'!$D$9*'Town inputs'!$E$9*'Town inputs'!$E$28*MIN(1,'Town inputs'!$F$28*IF('Assumptions'!$D$3="Downside",'Town inputs'!$D$73,IF('Assumptions'!$D$3="Upside",'Town inputs'!$D$74,1))),0)</x:f>
        <x:v>0</x:v>
      </x:c>
      <x:c r="E108" s="49" t="n">
        <x:f>IF(E107&gt;0,'Town inputs'!$D$9*'Town inputs'!$E$9*'Town inputs'!$E$28*MIN(1,'Town inputs'!$F$28*IF('Assumptions'!$D$3="Downside",'Town inputs'!$D$73,IF('Assumptions'!$D$3="Upside",'Town inputs'!$D$74,1))),0)</x:f>
        <x:v>3595.9600800000003</x:v>
      </x:c>
      <x:c r="F108" s="49" t="n">
        <x:f>IF(F107&gt;0,'Town inputs'!$D$9*'Town inputs'!$E$9*'Town inputs'!$E$28*MIN(1,'Town inputs'!$F$28*IF('Assumptions'!$D$3="Downside",'Town inputs'!$D$73,IF('Assumptions'!$D$3="Upside",'Town inputs'!$D$74,1))),0)</x:f>
        <x:v>3595.9600800000003</x:v>
      </x:c>
      <x:c r="G108" s="49" t="n">
        <x:f>IF(G107&gt;0,'Town inputs'!$D$9*'Town inputs'!$E$9*'Town inputs'!$E$28*MIN(1,'Town inputs'!$F$28*IF('Assumptions'!$D$3="Downside",'Town inputs'!$D$73,IF('Assumptions'!$D$3="Upside",'Town inputs'!$D$74,1))),0)</x:f>
        <x:v>3595.9600800000003</x:v>
      </x:c>
      <x:c r="H108" s="49" t="n">
        <x:f>IF(H107&gt;0,'Town inputs'!$D$9*'Town inputs'!$E$9*'Town inputs'!$E$28*MIN(1,'Town inputs'!$F$28*IF('Assumptions'!$D$3="Downside",'Town inputs'!$D$73,IF('Assumptions'!$D$3="Upside",'Town inputs'!$D$74,1))),0)</x:f>
        <x:v>3595.9600800000003</x:v>
      </x:c>
      <x:c r="I108" s="49" t="n">
        <x:f>IF(I107&gt;0,'Town inputs'!$D$9*'Town inputs'!$E$9*'Town inputs'!$E$28*MIN(1,'Town inputs'!$F$28*IF('Assumptions'!$D$3="Downside",'Town inputs'!$D$73,IF('Assumptions'!$D$3="Upside",'Town inputs'!$D$74,1))),0)</x:f>
        <x:v>3595.9600800000003</x:v>
      </x:c>
      <x:c r="J108" s="49" t="n">
        <x:f>IF(J107&gt;0,'Town inputs'!$D$9*'Town inputs'!$E$9*'Town inputs'!$E$28*MIN(1,'Town inputs'!$F$28*IF('Assumptions'!$D$3="Downside",'Town inputs'!$D$73,IF('Assumptions'!$D$3="Upside",'Town inputs'!$D$74,1))),0)</x:f>
        <x:v>3595.9600800000003</x:v>
      </x:c>
      <x:c r="K108" s="1"/>
      <x:c r="L108" s="1"/>
      <x:c r="M108" s="1"/>
    </x:row>
    <x:row r="109" ht="22" customHeight="1">
      <x:c r="A109" s="1"/>
      <x:c r="B109" s="1"/>
      <x:c r="C109" s="1" t="str">
        <x:v>Opening active households</x:v>
      </x:c>
      <x:c r="D109" s="11" t="n">
        <x:f>0</x:f>
        <x:v>0</x:v>
      </x:c>
      <x:c r="E109" s="11" t="n">
        <x:f>D116</x:f>
        <x:v>0</x:v>
      </x:c>
      <x:c r="F109" s="11" t="n">
        <x:f>E116</x:f>
        <x:v>280</x:v>
      </x:c>
      <x:c r="G109" s="11" t="n">
        <x:f>F116</x:f>
        <x:v>541.596008</x:v>
      </x:c>
      <x:c r="H109" s="11" t="n">
        <x:f>G116</x:f>
        <x:v>780.56857488</x:v>
      </x:c>
      <x:c r="I109" s="11" t="n">
        <x:f>H116</x:f>
        <x:v>992.1285135744001</x:v>
      </x:c>
      <x:c r="J109" s="11" t="n">
        <x:f>I116</x:f>
        <x:v>1155.0734876098563</x:v>
      </x:c>
      <x:c r="K109" s="1"/>
      <x:c r="L109" s="1"/>
      <x:c r="M109" s="1"/>
    </x:row>
    <x:row r="110" ht="22" customHeight="1">
      <x:c r="A110" s="1"/>
      <x:c r="B110" s="1"/>
      <x:c r="C110" s="1" t="str">
        <x:v>Retained households</x:v>
      </x:c>
      <x:c r="D110" s="49" t="n">
        <x:f>D109*'Assumptions'!D12</x:f>
        <x:v>0</x:v>
      </x:c>
      <x:c r="E110" s="49" t="n">
        <x:f>E109*'Assumptions'!E12</x:f>
        <x:v>0</x:v>
      </x:c>
      <x:c r="F110" s="49" t="n">
        <x:f>F109*'Assumptions'!F12</x:f>
        <x:v>210</x:v>
      </x:c>
      <x:c r="G110" s="49" t="n">
        <x:f>G109*'Assumptions'!G12</x:f>
        <x:v>422.44488624</x:v>
      </x:c>
      <x:c r="H110" s="49" t="n">
        <x:f>H109*'Assumptions'!H12</x:f>
        <x:v>624.454859904</x:v>
      </x:c>
      <x:c r="I110" s="49" t="n">
        <x:f>I109*'Assumptions'!I12</x:f>
        <x:v>793.7028108595201</x:v>
      </x:c>
      <x:c r="J110" s="49" t="n">
        <x:f>J109*'Assumptions'!J12</x:f>
        <x:v>924.0587900878851</x:v>
      </x:c>
      <x:c r="K110" s="1"/>
      <x:c r="L110" s="1"/>
      <x:c r="M110" s="1"/>
    </x:row>
    <x:row r="111" ht="22" customHeight="1">
      <x:c r="A111" s="1"/>
      <x:c r="B111" s="1"/>
      <x:c r="C111" s="1" t="str">
        <x:v>Previously acquired households</x:v>
      </x:c>
      <x:c r="D111" s="11" t="n">
        <x:f>0</x:f>
        <x:v>0</x:v>
      </x:c>
      <x:c r="E111" s="11" t="n">
        <x:f>D118</x:f>
        <x:v>0</x:v>
      </x:c>
      <x:c r="F111" s="11" t="n">
        <x:f>E118</x:f>
        <x:v>280</x:v>
      </x:c>
      <x:c r="G111" s="11" t="n">
        <x:f>F118</x:f>
        <x:v>611.596008</x:v>
      </x:c>
      <x:c r="H111" s="11" t="n">
        <x:f>G118</x:f>
        <x:v>969.7196966399999</x:v>
      </x:c>
      <x:c r="I111" s="11" t="n">
        <x:f>H118</x:f>
        <x:v>1337.3933503104</x:v>
      </x:c>
      <x:c r="J111" s="11" t="n">
        <x:f>I118</x:f>
        <x:v>1698.764027060736</x:v>
      </x:c>
      <x:c r="K111" s="1"/>
      <x:c r="L111" s="1"/>
      <x:c r="M111" s="1"/>
    </x:row>
    <x:row r="112" ht="22" customHeight="1">
      <x:c r="A112" s="1"/>
      <x:c r="B112" s="1"/>
      <x:c r="C112" s="1" t="str">
        <x:v>Qualified provider capacity plan</x:v>
      </x:c>
      <x:c r="D112" s="49" t="n">
        <x:f>IF(D107=0,0,MIN(ROUNDUP('Town inputs'!$E$47*IF('Assumptions'!$D$3="Downside",'Town inputs'!$D$77,IF('Assumptions'!$D$3="Upside",'Town inputs'!$D$78,1)),0),ROUNDUP(('Town inputs'!$J$28+(D107-1)*'Town inputs'!$D$47)*IF('Assumptions'!$D$3="Downside",'Town inputs'!$D$77,IF('Assumptions'!$D$3="Upside",'Town inputs'!$D$78,1)),0)))</x:f>
        <x:v>0</x:v>
      </x:c>
      <x:c r="E112" s="49" t="n">
        <x:f>IF(E107=0,0,MIN(ROUNDUP('Town inputs'!$E$47*IF('Assumptions'!$D$3="Downside",'Town inputs'!$D$77,IF('Assumptions'!$D$3="Upside",'Town inputs'!$D$78,1)),0),ROUNDUP(('Town inputs'!$J$28+(E107-1)*'Town inputs'!$D$47)*IF('Assumptions'!$D$3="Downside",'Town inputs'!$D$77,IF('Assumptions'!$D$3="Upside",'Town inputs'!$D$78,1)),0)))</x:f>
        <x:v>7</x:v>
      </x:c>
      <x:c r="F112" s="49" t="n">
        <x:f>IF(F107=0,0,MIN(ROUNDUP('Town inputs'!$E$47*IF('Assumptions'!$D$3="Downside",'Town inputs'!$D$77,IF('Assumptions'!$D$3="Upside",'Town inputs'!$D$78,1)),0),ROUNDUP(('Town inputs'!$J$28+(F107-1)*'Town inputs'!$D$47)*IF('Assumptions'!$D$3="Downside",'Town inputs'!$D$77,IF('Assumptions'!$D$3="Upside",'Town inputs'!$D$78,1)),0)))</x:f>
        <x:v>14</x:v>
      </x:c>
      <x:c r="G112" s="49" t="n">
        <x:f>IF(G107=0,0,MIN(ROUNDUP('Town inputs'!$E$47*IF('Assumptions'!$D$3="Downside",'Town inputs'!$D$77,IF('Assumptions'!$D$3="Upside",'Town inputs'!$D$78,1)),0),ROUNDUP(('Town inputs'!$J$28+(G107-1)*'Town inputs'!$D$47)*IF('Assumptions'!$D$3="Downside",'Town inputs'!$D$77,IF('Assumptions'!$D$3="Upside",'Town inputs'!$D$78,1)),0)))</x:f>
        <x:v>21</x:v>
      </x:c>
      <x:c r="H112" s="49" t="n">
        <x:f>IF(H107=0,0,MIN(ROUNDUP('Town inputs'!$E$47*IF('Assumptions'!$D$3="Downside",'Town inputs'!$D$77,IF('Assumptions'!$D$3="Upside",'Town inputs'!$D$78,1)),0),ROUNDUP(('Town inputs'!$J$28+(H107-1)*'Town inputs'!$D$47)*IF('Assumptions'!$D$3="Downside",'Town inputs'!$D$77,IF('Assumptions'!$D$3="Upside",'Town inputs'!$D$78,1)),0)))</x:f>
        <x:v>28</x:v>
      </x:c>
      <x:c r="I112" s="49" t="n">
        <x:f>IF(I107=0,0,MIN(ROUNDUP('Town inputs'!$E$47*IF('Assumptions'!$D$3="Downside",'Town inputs'!$D$77,IF('Assumptions'!$D$3="Upside",'Town inputs'!$D$78,1)),0),ROUNDUP(('Town inputs'!$J$28+(I107-1)*'Town inputs'!$D$47)*IF('Assumptions'!$D$3="Downside",'Town inputs'!$D$77,IF('Assumptions'!$D$3="Upside",'Town inputs'!$D$78,1)),0)))</x:f>
        <x:v>35</x:v>
      </x:c>
      <x:c r="J112" s="49" t="n">
        <x:f>IF(J107=0,0,MIN(ROUNDUP('Town inputs'!$E$47*IF('Assumptions'!$D$3="Downside",'Town inputs'!$D$77,IF('Assumptions'!$D$3="Upside",'Town inputs'!$D$78,1)),0),ROUNDUP(('Town inputs'!$J$28+(J107-1)*'Town inputs'!$D$47)*IF('Assumptions'!$D$3="Downside",'Town inputs'!$D$77,IF('Assumptions'!$D$3="Upside",'Town inputs'!$D$78,1)),0)))</x:f>
        <x:v>42</x:v>
      </x:c>
      <x:c r="K112" s="1"/>
      <x:c r="L112" s="1"/>
      <x:c r="M112" s="1"/>
    </x:row>
    <x:row r="113" ht="22" customHeight="1">
      <x:c r="A113" s="1"/>
      <x:c r="B113" s="1"/>
      <x:c r="C113" s="1" t="str">
        <x:v>Household capacity</x:v>
      </x:c>
      <x:c r="D113" s="49" t="n">
        <x:f>D112*'Assumptions'!$D$72</x:f>
        <x:v>0</x:v>
      </x:c>
      <x:c r="E113" s="49" t="n">
        <x:f>E112*'Assumptions'!$D$72</x:f>
        <x:v>280</x:v>
      </x:c>
      <x:c r="F113" s="49" t="n">
        <x:f>F112*'Assumptions'!$D$72</x:f>
        <x:v>560</x:v>
      </x:c>
      <x:c r="G113" s="49" t="n">
        <x:f>G112*'Assumptions'!$D$72</x:f>
        <x:v>840</x:v>
      </x:c>
      <x:c r="H113" s="49" t="n">
        <x:f>H112*'Assumptions'!$D$72</x:f>
        <x:v>1120</x:v>
      </x:c>
      <x:c r="I113" s="49" t="n">
        <x:f>I112*'Assumptions'!$D$72</x:f>
        <x:v>1400</x:v>
      </x:c>
      <x:c r="J113" s="49" t="n">
        <x:f>J112*'Assumptions'!$D$72</x:f>
        <x:v>1680</x:v>
      </x:c>
      <x:c r="K113" s="1"/>
      <x:c r="L113" s="1"/>
      <x:c r="M113" s="1"/>
    </x:row>
    <x:row r="114" ht="22" customHeight="1">
      <x:c r="A114" s="1"/>
      <x:c r="B114" s="1"/>
      <x:c r="C114" s="1" t="str">
        <x:v>Unconstrained new demand</x:v>
      </x:c>
      <x:c r="D114" s="49" t="n">
        <x:f>MAX(0,D108-D111)*MIN(1,MIN('Town inputs'!$D$65,'Town inputs'!$D$63+MAX(0,D107-1)*'Town inputs'!$D$64)*IF('Assumptions'!$D$3="Downside",'Town inputs'!$D$75,IF('Assumptions'!$D$3="Upside",'Town inputs'!$D$76,1)))</x:f>
        <x:v>0</x:v>
      </x:c>
      <x:c r="E114" s="49" t="n">
        <x:f>MAX(0,E108-E111)*MIN(1,MIN('Town inputs'!$D$65,'Town inputs'!$D$63+MAX(0,E107-1)*'Town inputs'!$D$64)*IF('Assumptions'!$D$3="Downside",'Town inputs'!$D$75,IF('Assumptions'!$D$3="Upside",'Town inputs'!$D$76,1)))</x:f>
        <x:v>287.67680640000003</x:v>
      </x:c>
      <x:c r="F114" s="49" t="n">
        <x:f>MAX(0,F108-F111)*MIN(1,MIN('Town inputs'!$D$65,'Town inputs'!$D$63+MAX(0,F107-1)*'Town inputs'!$D$64)*IF('Assumptions'!$D$3="Downside",'Town inputs'!$D$75,IF('Assumptions'!$D$3="Upside",'Town inputs'!$D$76,1)))</x:f>
        <x:v>331.59600800000004</x:v>
      </x:c>
      <x:c r="G114" s="49" t="n">
        <x:f>MAX(0,G108-G111)*MIN(1,MIN('Town inputs'!$D$65,'Town inputs'!$D$63+MAX(0,G107-1)*'Town inputs'!$D$64)*IF('Assumptions'!$D$3="Downside",'Town inputs'!$D$75,IF('Assumptions'!$D$3="Upside",'Town inputs'!$D$76,1)))</x:f>
        <x:v>358.12368864</x:v>
      </x:c>
      <x:c r="H114" s="49" t="n">
        <x:f>MAX(0,H108-H111)*MIN(1,MIN('Town inputs'!$D$65,'Town inputs'!$D$63+MAX(0,H107-1)*'Town inputs'!$D$64)*IF('Assumptions'!$D$3="Downside",'Town inputs'!$D$75,IF('Assumptions'!$D$3="Upside",'Town inputs'!$D$76,1)))</x:f>
        <x:v>367.67365367040003</x:v>
      </x:c>
      <x:c r="I114" s="49" t="n">
        <x:f>MAX(0,I108-I111)*MIN(1,MIN('Town inputs'!$D$65,'Town inputs'!$D$63+MAX(0,I107-1)*'Town inputs'!$D$64)*IF('Assumptions'!$D$3="Downside",'Town inputs'!$D$75,IF('Assumptions'!$D$3="Upside",'Town inputs'!$D$76,1)))</x:f>
        <x:v>361.3706767503361</x:v>
      </x:c>
      <x:c r="J114" s="49" t="n">
        <x:f>MAX(0,J108-J111)*MIN(1,MIN('Town inputs'!$D$65,'Town inputs'!$D$63+MAX(0,J107-1)*'Town inputs'!$D$64)*IF('Assumptions'!$D$3="Downside",'Town inputs'!$D$75,IF('Assumptions'!$D$3="Upside",'Town inputs'!$D$76,1)))</x:f>
        <x:v>303.5513684702823</x:v>
      </x:c>
      <x:c r="K114" s="1"/>
      <x:c r="L114" s="1"/>
      <x:c r="M114" s="1"/>
    </x:row>
    <x:row r="115" ht="22" customHeight="1">
      <x:c r="A115" s="1"/>
      <x:c r="B115" s="1"/>
      <x:c r="C115" s="1" t="str">
        <x:v>New first-time households</x:v>
      </x:c>
      <x:c r="D115" s="11" t="n">
        <x:f>MIN(D114,MAX(0,D113-D110))</x:f>
        <x:v>0</x:v>
      </x:c>
      <x:c r="E115" s="11" t="n">
        <x:f>MIN(E114,MAX(0,E113-E110))</x:f>
        <x:v>280</x:v>
      </x:c>
      <x:c r="F115" s="11" t="n">
        <x:f>MIN(F114,MAX(0,F113-F110))</x:f>
        <x:v>331.59600800000004</x:v>
      </x:c>
      <x:c r="G115" s="11" t="n">
        <x:f>MIN(G114,MAX(0,G113-G110))</x:f>
        <x:v>358.12368864</x:v>
      </x:c>
      <x:c r="H115" s="11" t="n">
        <x:f>MIN(H114,MAX(0,H113-H110))</x:f>
        <x:v>367.67365367040003</x:v>
      </x:c>
      <x:c r="I115" s="11" t="n">
        <x:f>MIN(I114,MAX(0,I113-I110))</x:f>
        <x:v>361.3706767503361</x:v>
      </x:c>
      <x:c r="J115" s="11" t="n">
        <x:f>MIN(J114,MAX(0,J113-J110))</x:f>
        <x:v>303.5513684702823</x:v>
      </x:c>
      <x:c r="K115" s="1"/>
      <x:c r="L115" s="1"/>
      <x:c r="M115" s="1"/>
    </x:row>
    <x:row r="116" ht="22" customHeight="1">
      <x:c r="A116" s="1"/>
      <x:c r="B116" s="1"/>
      <x:c r="C116" s="1" t="str">
        <x:v>Ending active households</x:v>
      </x:c>
      <x:c r="D116" s="11" t="n">
        <x:f>D110+D115</x:f>
        <x:v>0</x:v>
      </x:c>
      <x:c r="E116" s="11" t="n">
        <x:f>E110+E115</x:f>
        <x:v>280</x:v>
      </x:c>
      <x:c r="F116" s="11" t="n">
        <x:f>F110+F115</x:f>
        <x:v>541.596008</x:v>
      </x:c>
      <x:c r="G116" s="11" t="n">
        <x:f>G110+G115</x:f>
        <x:v>780.56857488</x:v>
      </x:c>
      <x:c r="H116" s="11" t="n">
        <x:f>H110+H115</x:f>
        <x:v>992.1285135744001</x:v>
      </x:c>
      <x:c r="I116" s="11" t="n">
        <x:f>I110+I115</x:f>
        <x:v>1155.0734876098563</x:v>
      </x:c>
      <x:c r="J116" s="11" t="n">
        <x:f>J110+J115</x:f>
        <x:v>1227.6101585581673</x:v>
      </x:c>
      <x:c r="K116" s="1"/>
      <x:c r="L116" s="1"/>
      <x:c r="M116" s="1"/>
    </x:row>
    <x:row r="117" ht="22" customHeight="1">
      <x:c r="A117" s="1"/>
      <x:c r="B117" s="1"/>
      <x:c r="C117" s="1" t="str">
        <x:v>Full-season equivalent households</x:v>
      </x:c>
      <x:c r="D117" s="49" t="n">
        <x:f>D110+D115*'Assumptions'!$D$71</x:f>
        <x:v>0</x:v>
      </x:c>
      <x:c r="E117" s="49" t="n">
        <x:f>E110+E115*'Assumptions'!$D$71</x:f>
        <x:v>140</x:v>
      </x:c>
      <x:c r="F117" s="49" t="n">
        <x:f>F110+F115*'Assumptions'!$D$71</x:f>
        <x:v>375.798004</x:v>
      </x:c>
      <x:c r="G117" s="49" t="n">
        <x:f>G110+G115*'Assumptions'!$D$71</x:f>
        <x:v>601.50673056</x:v>
      </x:c>
      <x:c r="H117" s="49" t="n">
        <x:f>H110+H115*'Assumptions'!$D$71</x:f>
        <x:v>808.2916867392</x:v>
      </x:c>
      <x:c r="I117" s="49" t="n">
        <x:f>I110+I115*'Assumptions'!$D$71</x:f>
        <x:v>974.3881492346882</x:v>
      </x:c>
      <x:c r="J117" s="49" t="n">
        <x:f>J110+J115*'Assumptions'!$D$71</x:f>
        <x:v>1075.8344743230261</x:v>
      </x:c>
      <x:c r="K117" s="1"/>
      <x:c r="L117" s="1"/>
      <x:c r="M117" s="1"/>
    </x:row>
    <x:row r="118" ht="22" customHeight="1">
      <x:c r="A118" s="1"/>
      <x:c r="B118" s="1"/>
      <x:c r="C118" s="1" t="str">
        <x:v>Cumulative ever-acquired households</x:v>
      </x:c>
      <x:c r="D118" s="11" t="n">
        <x:f>D111+D115</x:f>
        <x:v>0</x:v>
      </x:c>
      <x:c r="E118" s="11" t="n">
        <x:f>E111+E115</x:f>
        <x:v>280</x:v>
      </x:c>
      <x:c r="F118" s="11" t="n">
        <x:f>F111+F115</x:f>
        <x:v>611.596008</x:v>
      </x:c>
      <x:c r="G118" s="11" t="n">
        <x:f>G111+G115</x:f>
        <x:v>969.7196966399999</x:v>
      </x:c>
      <x:c r="H118" s="11" t="n">
        <x:f>H111+H115</x:f>
        <x:v>1337.3933503104</x:v>
      </x:c>
      <x:c r="I118" s="11" t="n">
        <x:f>I111+I115</x:f>
        <x:v>1698.764027060736</x:v>
      </x:c>
      <x:c r="J118" s="11" t="n">
        <x:f>J111+J115</x:f>
        <x:v>2002.3153955310183</x:v>
      </x:c>
      <x:c r="K118" s="1"/>
      <x:c r="L118" s="1"/>
      <x:c r="M118" s="1"/>
    </x:row>
    <x:row r="119" ht="22" customHeight="1">
      <x:c r="A119" s="1"/>
      <x:c r="B119" s="1"/>
      <x:c r="C119" s="1" t="str">
        <x:v>Ending payout-active providers</x:v>
      </x:c>
      <x:c r="D119" s="49" t="n">
        <x:f>MIN(D112,ROUNDUP(D116/'Assumptions'!$D$72,0))</x:f>
        <x:v>0</x:v>
      </x:c>
      <x:c r="E119" s="49" t="n">
        <x:f>MIN(E112,ROUNDUP(E116/'Assumptions'!$D$72,0))</x:f>
        <x:v>7</x:v>
      </x:c>
      <x:c r="F119" s="49" t="n">
        <x:f>MIN(F112,ROUNDUP(F116/'Assumptions'!$D$72,0))</x:f>
        <x:v>14</x:v>
      </x:c>
      <x:c r="G119" s="49" t="n">
        <x:f>MIN(G112,ROUNDUP(G116/'Assumptions'!$D$72,0))</x:f>
        <x:v>20</x:v>
      </x:c>
      <x:c r="H119" s="49" t="n">
        <x:f>MIN(H112,ROUNDUP(H116/'Assumptions'!$D$72,0))</x:f>
        <x:v>25</x:v>
      </x:c>
      <x:c r="I119" s="49" t="n">
        <x:f>MIN(I112,ROUNDUP(I116/'Assumptions'!$D$72,0))</x:f>
        <x:v>29</x:v>
      </x:c>
      <x:c r="J119" s="49" t="n">
        <x:f>MIN(J112,ROUNDUP(J116/'Assumptions'!$D$72,0))</x:f>
        <x:v>31</x:v>
      </x:c>
      <x:c r="K119" s="1"/>
      <x:c r="L119" s="1"/>
      <x:c r="M119" s="1"/>
    </x:row>
    <x:row r="120" ht="22" customHeight="1">
      <x:c r="A120" s="1"/>
      <x:c r="B120" s="1"/>
      <x:c r="C120" s="1" t="str">
        <x:v>Retained active providers</x:v>
      </x:c>
      <x:c r="D120" s="11" t="n">
        <x:f>0</x:f>
        <x:v>0</x:v>
      </x:c>
      <x:c r="E120" s="49" t="n">
        <x:f>D119*'Assumptions'!$D$73</x:f>
        <x:v>0</x:v>
      </x:c>
      <x:c r="F120" s="49" t="n">
        <x:f>E119*'Assumptions'!$D$73</x:f>
        <x:v>5.95</x:v>
      </x:c>
      <x:c r="G120" s="49" t="n">
        <x:f>F119*'Assumptions'!$D$73</x:f>
        <x:v>11.9</x:v>
      </x:c>
      <x:c r="H120" s="49" t="n">
        <x:f>G119*'Assumptions'!$D$73</x:f>
        <x:v>17</x:v>
      </x:c>
      <x:c r="I120" s="49" t="n">
        <x:f>H119*'Assumptions'!$D$73</x:f>
        <x:v>21.25</x:v>
      </x:c>
      <x:c r="J120" s="49" t="n">
        <x:f>I119*'Assumptions'!$D$73</x:f>
        <x:v>24.65</x:v>
      </x:c>
      <x:c r="K120" s="1"/>
      <x:c r="L120" s="1"/>
      <x:c r="M120" s="1"/>
    </x:row>
    <x:row r="121" ht="22" customHeight="1">
      <x:c r="A121" s="1"/>
      <x:c r="B121" s="1"/>
      <x:c r="C121" s="1" t="str">
        <x:v>New / replacement active providers</x:v>
      </x:c>
      <x:c r="D121" s="11" t="n">
        <x:f>MAX(0,D119-D120)</x:f>
        <x:v>0</x:v>
      </x:c>
      <x:c r="E121" s="11" t="n">
        <x:f>MAX(0,E119-E120)</x:f>
        <x:v>7</x:v>
      </x:c>
      <x:c r="F121" s="11" t="n">
        <x:f>MAX(0,F119-F120)</x:f>
        <x:v>8.05</x:v>
      </x:c>
      <x:c r="G121" s="11" t="n">
        <x:f>MAX(0,G119-G120)</x:f>
        <x:v>8.1</x:v>
      </x:c>
      <x:c r="H121" s="11" t="n">
        <x:f>MAX(0,H119-H120)</x:f>
        <x:v>8</x:v>
      </x:c>
      <x:c r="I121" s="11" t="n">
        <x:f>MAX(0,I119-I120)</x:f>
        <x:v>7.75</x:v>
      </x:c>
      <x:c r="J121" s="11" t="n">
        <x:f>MAX(0,J119-J120)</x:f>
        <x:v>6.350000000000001</x:v>
      </x:c>
      <x:c r="K121" s="1"/>
      <x:c r="L121" s="1"/>
      <x:c r="M121" s="1"/>
    </x:row>
    <x:row r="122" ht="22" customHeight="1">
      <x:c r="A122" s="1"/>
      <x:c r="B122" s="1"/>
      <x:c r="C122" s="1" t="str">
        <x:v>Average payout-active providers</x:v>
      </x:c>
      <x:c r="D122" s="49" t="n">
        <x:f>D120+D121*'Assumptions'!$D$71</x:f>
        <x:v>0</x:v>
      </x:c>
      <x:c r="E122" s="49" t="n">
        <x:f>E120+E121*'Assumptions'!$D$71</x:f>
        <x:v>3.5</x:v>
      </x:c>
      <x:c r="F122" s="49" t="n">
        <x:f>F120+F121*'Assumptions'!$D$71</x:f>
        <x:v>9.975000000000001</x:v>
      </x:c>
      <x:c r="G122" s="49" t="n">
        <x:f>G120+G121*'Assumptions'!$D$71</x:f>
        <x:v>15.95</x:v>
      </x:c>
      <x:c r="H122" s="49" t="n">
        <x:f>H120+H121*'Assumptions'!$D$71</x:f>
        <x:v>21</x:v>
      </x:c>
      <x:c r="I122" s="49" t="n">
        <x:f>I120+I121*'Assumptions'!$D$71</x:f>
        <x:v>25.125</x:v>
      </x:c>
      <x:c r="J122" s="49" t="n">
        <x:f>J120+J121*'Assumptions'!$D$71</x:f>
        <x:v>27.825</x:v>
      </x:c>
      <x:c r="K122" s="1"/>
      <x:c r="L122" s="1"/>
      <x:c r="M122" s="1"/>
    </x:row>
    <x:row r="123" ht="22" customHeight="1">
      <x:c r="A123" s="1"/>
      <x:c r="B123" s="1"/>
      <x:c r="C123" s="1" t="str">
        <x:v>Cash acquisition spend</x:v>
      </x:c>
      <x:c r="D123" s="50" t="n">
        <x:f>D115*'Town inputs'!$F$47*(1-'Town inputs'!$D$66)^0*IF('Assumptions'!$D$3="Downside",'Town inputs'!$D$79,IF('Assumptions'!$D$3="Upside",'Town inputs'!$D$80,1))*(1+('Town inputs'!$D$103/'Town inputs'!$D$104-1)*0/6)</x:f>
        <x:v>0</x:v>
      </x:c>
      <x:c r="E123" s="50" t="n">
        <x:f>E115*'Town inputs'!$F$47*(1-'Town inputs'!$D$66)^1*IF('Assumptions'!$D$3="Downside",'Town inputs'!$D$79,IF('Assumptions'!$D$3="Upside",'Town inputs'!$D$80,1))*(1+('Town inputs'!$D$103/'Town inputs'!$D$104-1)*1/6)</x:f>
        <x:v>14340.3627734422</x:v>
      </x:c>
      <x:c r="F123" s="50" t="n">
        <x:f>F115*'Town inputs'!$F$47*(1-'Town inputs'!$D$66)^2*IF('Assumptions'!$D$3="Downside",'Town inputs'!$D$79,IF('Assumptions'!$D$3="Upside",'Town inputs'!$D$80,1))*(1+('Town inputs'!$D$103/'Town inputs'!$D$104-1)*2/6)</x:f>
        <x:v>15807.879556457001</x:v>
      </x:c>
      <x:c r="G123" s="50" t="n">
        <x:f>G115*'Town inputs'!$F$47*(1-'Town inputs'!$D$66)^3*IF('Assumptions'!$D$3="Downside",'Town inputs'!$D$79,IF('Assumptions'!$D$3="Upside",'Town inputs'!$D$80,1))*(1+('Town inputs'!$D$103/'Town inputs'!$D$104-1)*3/6)</x:f>
        <x:v>15884.553454825018</x:v>
      </x:c>
      <x:c r="H123" s="50" t="n">
        <x:f>H115*'Town inputs'!$F$47*(1-'Town inputs'!$D$66)^4*IF('Assumptions'!$D$3="Downside",'Town inputs'!$D$79,IF('Assumptions'!$D$3="Upside",'Town inputs'!$D$80,1))*(1+('Town inputs'!$D$103/'Town inputs'!$D$104-1)*4/6)</x:f>
        <x:v>15166.650330101944</x:v>
      </x:c>
      <x:c r="I123" s="50" t="n">
        <x:f>I115*'Town inputs'!$F$47*(1-'Town inputs'!$D$66)^5*IF('Assumptions'!$D$3="Downside",'Town inputs'!$D$79,IF('Assumptions'!$D$3="Upside",'Town inputs'!$D$80,1))*(1+('Town inputs'!$D$103/'Town inputs'!$D$104-1)*5/6)</x:f>
        <x:v>13856.848660249676</x:v>
      </x:c>
      <x:c r="J123" s="50" t="n">
        <x:f>J115*'Town inputs'!$F$47*(1-'Town inputs'!$D$66)^6*IF('Assumptions'!$D$3="Downside",'Town inputs'!$D$79,IF('Assumptions'!$D$3="Upside",'Town inputs'!$D$80,1))*(1+('Town inputs'!$D$103/'Town inputs'!$D$104-1)*6/6)</x:f>
        <x:v>10814.798634198207</x:v>
      </x:c>
      <x:c r="K123" s="1"/>
      <x:c r="L123" s="1"/>
      <x:c r="M123" s="1"/>
    </x:row>
    <x:row r="124" ht="22" customHeight="1">
      <x:c r="A124" s="1"/>
      <x:c r="B124" s="1"/>
      <x:c r="C124" s="1" t="str">
        <x:v>Launch spend</x:v>
      </x:c>
      <x:c r="D124" s="50" t="n">
        <x:f>IF(D107=1,'Town inputs'!$G$47*(1+'Town inputs'!$D$67)^0,0)</x:f>
        <x:v>0</x:v>
      </x:c>
      <x:c r="E124" s="50" t="n">
        <x:f>IF(E107=1,'Town inputs'!$G$47*(1+'Town inputs'!$D$67)^1,0)</x:f>
        <x:v>15450</x:v>
      </x:c>
      <x:c r="F124" s="50" t="n">
        <x:f>IF(F107=1,'Town inputs'!$G$47*(1+'Town inputs'!$D$67)^2,0)</x:f>
        <x:v>0</x:v>
      </x:c>
      <x:c r="G124" s="50" t="n">
        <x:f>IF(G107=1,'Town inputs'!$G$47*(1+'Town inputs'!$D$67)^3,0)</x:f>
        <x:v>0</x:v>
      </x:c>
      <x:c r="H124" s="50" t="n">
        <x:f>IF(H107=1,'Town inputs'!$G$47*(1+'Town inputs'!$D$67)^4,0)</x:f>
        <x:v>0</x:v>
      </x:c>
      <x:c r="I124" s="50" t="n">
        <x:f>IF(I107=1,'Town inputs'!$G$47*(1+'Town inputs'!$D$67)^5,0)</x:f>
        <x:v>0</x:v>
      </x:c>
      <x:c r="J124" s="50" t="n">
        <x:f>IF(J107=1,'Town inputs'!$G$47*(1+'Town inputs'!$D$67)^6,0)</x:f>
        <x:v>0</x:v>
      </x:c>
      <x:c r="K124" s="1"/>
      <x:c r="L124" s="1"/>
      <x:c r="M124" s="1"/>
    </x:row>
    <x:row r="125" ht="22" customHeight="1">
      <x:c r="A125" s="1"/>
      <x:c r="B125" s="1"/>
      <x:c r="C125" s="1" t="str">
        <x:v>Annual local coverage</x:v>
      </x:c>
      <x:c r="D125" s="50" t="n">
        <x:f>IF(D107&gt;0,'Town inputs'!$H$47*(1+'Town inputs'!$D$67)^0*IF(D107=1,'Assumptions'!$D$71,1),0)</x:f>
        <x:v>0</x:v>
      </x:c>
      <x:c r="E125" s="50" t="n">
        <x:f>IF(E107&gt;0,'Town inputs'!$H$47*(1+'Town inputs'!$D$67)^1*IF(E107=1,'Assumptions'!$D$71,1),0)</x:f>
        <x:v>3090</x:v>
      </x:c>
      <x:c r="F125" s="50" t="n">
        <x:f>IF(F107&gt;0,'Town inputs'!$H$47*(1+'Town inputs'!$D$67)^2*IF(F107=1,'Assumptions'!$D$71,1),0)</x:f>
        <x:v>6365.4</x:v>
      </x:c>
      <x:c r="G125" s="50" t="n">
        <x:f>IF(G107&gt;0,'Town inputs'!$H$47*(1+'Town inputs'!$D$67)^3*IF(G107=1,'Assumptions'!$D$71,1),0)</x:f>
        <x:v>6556.362</x:v>
      </x:c>
      <x:c r="H125" s="50" t="n">
        <x:f>IF(H107&gt;0,'Town inputs'!$H$47*(1+'Town inputs'!$D$67)^4*IF(H107=1,'Assumptions'!$D$71,1),0)</x:f>
        <x:v>6753.052860000001</x:v>
      </x:c>
      <x:c r="I125" s="50" t="n">
        <x:f>IF(I107&gt;0,'Town inputs'!$H$47*(1+'Town inputs'!$D$67)^5*IF(I107=1,'Assumptions'!$D$71,1),0)</x:f>
        <x:v>6955.6444458000005</x:v>
      </x:c>
      <x:c r="J125" s="50" t="n">
        <x:f>IF(J107&gt;0,'Town inputs'!$H$47*(1+'Town inputs'!$D$67)^6*IF(J107=1,'Assumptions'!$D$71,1),0)</x:f>
        <x:v>7164.313779174001</x:v>
      </x:c>
      <x:c r="K125" s="1"/>
      <x:c r="L125" s="1"/>
      <x:c r="M125" s="1"/>
    </x:row>
    <x:row r="126" ht="22" customHeight="1">
      <x:c r="A126" s="1"/>
      <x:c r="B126" s="1"/>
      <x:c r="C126" s="1"/>
      <x:c r="D126" s="6"/>
      <x:c r="E126" s="6"/>
      <x:c r="F126" s="6"/>
      <x:c r="G126" s="6"/>
      <x:c r="H126" s="6"/>
      <x:c r="I126" s="6"/>
      <x:c r="J126" s="6"/>
      <x:c r="K126" s="1"/>
      <x:c r="L126" s="1"/>
      <x:c r="M126" s="1"/>
    </x:row>
    <x:row r="127" ht="22" customHeight="1">
      <x:c r="A127" s="1"/>
      <x:c r="B127" s="1"/>
      <x:c r="C127" s="1"/>
      <x:c r="D127" s="6"/>
      <x:c r="E127" s="6"/>
      <x:c r="F127" s="6"/>
      <x:c r="G127" s="6"/>
      <x:c r="H127" s="6"/>
      <x:c r="I127" s="6"/>
      <x:c r="J127" s="6"/>
      <x:c r="K127" s="1"/>
      <x:c r="L127" s="1"/>
      <x:c r="M127" s="1"/>
    </x:row>
    <x:row r="128" ht="22" customHeight="1">
      <x:c r="A128" s="1"/>
      <x:c r="B128" s="1"/>
      <x:c r="C128" s="5" t="str">
        <x:v>Ocean / Waretown | Ocean County</x:v>
      </x:c>
      <x:c r="D128" s="26"/>
      <x:c r="E128" s="26"/>
      <x:c r="F128" s="26"/>
      <x:c r="G128" s="26"/>
      <x:c r="H128" s="26"/>
      <x:c r="I128" s="26"/>
      <x:c r="J128" s="26"/>
      <x:c r="K128" s="1"/>
      <x:c r="L128" s="1"/>
      <x:c r="M128" s="1"/>
    </x:row>
    <x:row r="129" ht="22" customHeight="1">
      <x:c r="A129" s="1"/>
      <x:c r="B129" s="1"/>
      <x:c r="C129" s="1" t="str">
        <x:v>Years since launch</x:v>
      </x:c>
      <x:c r="D129" s="49" t="n">
        <x:f>MAX(0,2027-'Town inputs'!$D$29+1)</x:f>
        <x:v>0</x:v>
      </x:c>
      <x:c r="E129" s="49" t="n">
        <x:f>MAX(0,2028-'Town inputs'!$D$29+1)</x:f>
        <x:v>1</x:v>
      </x:c>
      <x:c r="F129" s="49" t="n">
        <x:f>MAX(0,2029-'Town inputs'!$D$29+1)</x:f>
        <x:v>2</x:v>
      </x:c>
      <x:c r="G129" s="49" t="n">
        <x:f>MAX(0,2030-'Town inputs'!$D$29+1)</x:f>
        <x:v>3</x:v>
      </x:c>
      <x:c r="H129" s="49" t="n">
        <x:f>MAX(0,2031-'Town inputs'!$D$29+1)</x:f>
        <x:v>4</x:v>
      </x:c>
      <x:c r="I129" s="49" t="n">
        <x:f>MAX(0,2032-'Town inputs'!$D$29+1)</x:f>
        <x:v>5</x:v>
      </x:c>
      <x:c r="J129" s="49" t="n">
        <x:f>MAX(0,2033-'Town inputs'!$D$29+1)</x:f>
        <x:v>6</x:v>
      </x:c>
      <x:c r="K129" s="1"/>
      <x:c r="L129" s="1"/>
      <x:c r="M129" s="1"/>
    </x:row>
    <x:row r="130" ht="22" customHeight="1">
      <x:c r="A130" s="1"/>
      <x:c r="B130" s="1"/>
      <x:c r="C130" s="1" t="str">
        <x:v>Assumed outsourcing pool</x:v>
      </x:c>
      <x:c r="D130" s="49" t="n">
        <x:f>IF(D129&gt;0,'Town inputs'!$D$10*'Town inputs'!$E$10*'Town inputs'!$E$29*MIN(1,'Town inputs'!$F$29*IF('Assumptions'!$D$3="Downside",'Town inputs'!$D$73,IF('Assumptions'!$D$3="Upside",'Town inputs'!$D$74,1))),0)</x:f>
        <x:v>0</x:v>
      </x:c>
      <x:c r="E130" s="49" t="n">
        <x:f>IF(E129&gt;0,'Town inputs'!$D$10*'Town inputs'!$E$10*'Town inputs'!$E$29*MIN(1,'Town inputs'!$F$29*IF('Assumptions'!$D$3="Downside",'Town inputs'!$D$73,IF('Assumptions'!$D$3="Upside",'Town inputs'!$D$74,1))),0)</x:f>
        <x:v>1164.6328500000002</x:v>
      </x:c>
      <x:c r="F130" s="49" t="n">
        <x:f>IF(F129&gt;0,'Town inputs'!$D$10*'Town inputs'!$E$10*'Town inputs'!$E$29*MIN(1,'Town inputs'!$F$29*IF('Assumptions'!$D$3="Downside",'Town inputs'!$D$73,IF('Assumptions'!$D$3="Upside",'Town inputs'!$D$74,1))),0)</x:f>
        <x:v>1164.6328500000002</x:v>
      </x:c>
      <x:c r="G130" s="49" t="n">
        <x:f>IF(G129&gt;0,'Town inputs'!$D$10*'Town inputs'!$E$10*'Town inputs'!$E$29*MIN(1,'Town inputs'!$F$29*IF('Assumptions'!$D$3="Downside",'Town inputs'!$D$73,IF('Assumptions'!$D$3="Upside",'Town inputs'!$D$74,1))),0)</x:f>
        <x:v>1164.6328500000002</x:v>
      </x:c>
      <x:c r="H130" s="49" t="n">
        <x:f>IF(H129&gt;0,'Town inputs'!$D$10*'Town inputs'!$E$10*'Town inputs'!$E$29*MIN(1,'Town inputs'!$F$29*IF('Assumptions'!$D$3="Downside",'Town inputs'!$D$73,IF('Assumptions'!$D$3="Upside",'Town inputs'!$D$74,1))),0)</x:f>
        <x:v>1164.6328500000002</x:v>
      </x:c>
      <x:c r="I130" s="49" t="n">
        <x:f>IF(I129&gt;0,'Town inputs'!$D$10*'Town inputs'!$E$10*'Town inputs'!$E$29*MIN(1,'Town inputs'!$F$29*IF('Assumptions'!$D$3="Downside",'Town inputs'!$D$73,IF('Assumptions'!$D$3="Upside",'Town inputs'!$D$74,1))),0)</x:f>
        <x:v>1164.6328500000002</x:v>
      </x:c>
      <x:c r="J130" s="49" t="n">
        <x:f>IF(J129&gt;0,'Town inputs'!$D$10*'Town inputs'!$E$10*'Town inputs'!$E$29*MIN(1,'Town inputs'!$F$29*IF('Assumptions'!$D$3="Downside",'Town inputs'!$D$73,IF('Assumptions'!$D$3="Upside",'Town inputs'!$D$74,1))),0)</x:f>
        <x:v>1164.6328500000002</x:v>
      </x:c>
      <x:c r="K130" s="1"/>
      <x:c r="L130" s="1"/>
      <x:c r="M130" s="1"/>
    </x:row>
    <x:row r="131" ht="22" customHeight="1">
      <x:c r="A131" s="1"/>
      <x:c r="B131" s="1"/>
      <x:c r="C131" s="1" t="str">
        <x:v>Opening active households</x:v>
      </x:c>
      <x:c r="D131" s="11" t="n">
        <x:f>0</x:f>
        <x:v>0</x:v>
      </x:c>
      <x:c r="E131" s="11" t="n">
        <x:f>D138</x:f>
        <x:v>0</x:v>
      </x:c>
      <x:c r="F131" s="11" t="n">
        <x:f>E138</x:f>
        <x:v>93.17062800000002</x:v>
      </x:c>
      <x:c r="G131" s="11" t="n">
        <x:f>F138</x:f>
        <x:v>177.0241932</x:v>
      </x:c>
      <x:c r="H131" s="11" t="n">
        <x:f>G138</x:f>
        <x:v>253.79679067200004</x:v>
      </x:c>
      <x:c r="I131" s="11" t="n">
        <x:f>H138</x:f>
        <x:v>321.84116371296005</x:v>
      </x:c>
      <x:c r="J131" s="11" t="n">
        <x:f>I138</x:f>
        <x:v>374.24002675415045</x:v>
      </x:c>
      <x:c r="K131" s="1"/>
      <x:c r="L131" s="1"/>
      <x:c r="M131" s="1"/>
    </x:row>
    <x:row r="132" ht="22" customHeight="1">
      <x:c r="A132" s="1"/>
      <x:c r="B132" s="1"/>
      <x:c r="C132" s="1" t="str">
        <x:v>Retained households</x:v>
      </x:c>
      <x:c r="D132" s="49" t="n">
        <x:f>D131*'Assumptions'!D12</x:f>
        <x:v>0</x:v>
      </x:c>
      <x:c r="E132" s="49" t="n">
        <x:f>E131*'Assumptions'!E12</x:f>
        <x:v>0</x:v>
      </x:c>
      <x:c r="F132" s="49" t="n">
        <x:f>F131*'Assumptions'!F12</x:f>
        <x:v>69.87797100000002</x:v>
      </x:c>
      <x:c r="G132" s="49" t="n">
        <x:f>G131*'Assumptions'!G12</x:f>
        <x:v>138.07887069600002</x:v>
      </x:c>
      <x:c r="H132" s="49" t="n">
        <x:f>H131*'Assumptions'!H12</x:f>
        <x:v>203.03743253760004</x:v>
      </x:c>
      <x:c r="I132" s="49" t="n">
        <x:f>I131*'Assumptions'!I12</x:f>
        <x:v>257.47293097036805</x:v>
      </x:c>
      <x:c r="J132" s="49" t="n">
        <x:f>J131*'Assumptions'!J12</x:f>
        <x:v>299.39202140332037</x:v>
      </x:c>
      <x:c r="K132" s="1"/>
      <x:c r="L132" s="1"/>
      <x:c r="M132" s="1"/>
    </x:row>
    <x:row r="133" ht="22" customHeight="1">
      <x:c r="A133" s="1"/>
      <x:c r="B133" s="1"/>
      <x:c r="C133" s="1" t="str">
        <x:v>Previously acquired households</x:v>
      </x:c>
      <x:c r="D133" s="11" t="n">
        <x:f>0</x:f>
        <x:v>0</x:v>
      </x:c>
      <x:c r="E133" s="11" t="n">
        <x:f>D140</x:f>
        <x:v>0</x:v>
      </x:c>
      <x:c r="F133" s="11" t="n">
        <x:f>E140</x:f>
        <x:v>93.17062800000002</x:v>
      </x:c>
      <x:c r="G133" s="11" t="n">
        <x:f>F140</x:f>
        <x:v>200.31685020000003</x:v>
      </x:c>
      <x:c r="H133" s="11" t="n">
        <x:f>G140</x:f>
        <x:v>316.03477017600005</x:v>
      </x:c>
      <x:c r="I133" s="11" t="n">
        <x:f>H140</x:f>
        <x:v>434.8385013513601</x:v>
      </x:c>
      <x:c r="J133" s="11" t="n">
        <x:f>I140</x:f>
        <x:v>551.6055971351425</x:v>
      </x:c>
      <x:c r="K133" s="1"/>
      <x:c r="L133" s="1"/>
      <x:c r="M133" s="1"/>
    </x:row>
    <x:row r="134" ht="22" customHeight="1">
      <x:c r="A134" s="1"/>
      <x:c r="B134" s="1"/>
      <x:c r="C134" s="1" t="str">
        <x:v>Qualified provider capacity plan</x:v>
      </x:c>
      <x:c r="D134" s="49" t="n">
        <x:f>IF(D129=0,0,MIN(ROUNDUP('Town inputs'!$E$48*IF('Assumptions'!$D$3="Downside",'Town inputs'!$D$77,IF('Assumptions'!$D$3="Upside",'Town inputs'!$D$78,1)),0),ROUNDUP(('Town inputs'!$J$29+(D129-1)*'Town inputs'!$D$48)*IF('Assumptions'!$D$3="Downside",'Town inputs'!$D$77,IF('Assumptions'!$D$3="Upside",'Town inputs'!$D$78,1)),0)))</x:f>
        <x:v>0</x:v>
      </x:c>
      <x:c r="E134" s="49" t="n">
        <x:f>IF(E129=0,0,MIN(ROUNDUP('Town inputs'!$E$48*IF('Assumptions'!$D$3="Downside",'Town inputs'!$D$77,IF('Assumptions'!$D$3="Upside",'Town inputs'!$D$78,1)),0),ROUNDUP(('Town inputs'!$J$29+(E129-1)*'Town inputs'!$D$48)*IF('Assumptions'!$D$3="Downside",'Town inputs'!$D$77,IF('Assumptions'!$D$3="Upside",'Town inputs'!$D$78,1)),0)))</x:f>
        <x:v>3</x:v>
      </x:c>
      <x:c r="F134" s="49" t="n">
        <x:f>IF(F129=0,0,MIN(ROUNDUP('Town inputs'!$E$48*IF('Assumptions'!$D$3="Downside",'Town inputs'!$D$77,IF('Assumptions'!$D$3="Upside",'Town inputs'!$D$78,1)),0),ROUNDUP(('Town inputs'!$J$29+(F129-1)*'Town inputs'!$D$48)*IF('Assumptions'!$D$3="Downside",'Town inputs'!$D$77,IF('Assumptions'!$D$3="Upside",'Town inputs'!$D$78,1)),0)))</x:f>
        <x:v>6</x:v>
      </x:c>
      <x:c r="G134" s="49" t="n">
        <x:f>IF(G129=0,0,MIN(ROUNDUP('Town inputs'!$E$48*IF('Assumptions'!$D$3="Downside",'Town inputs'!$D$77,IF('Assumptions'!$D$3="Upside",'Town inputs'!$D$78,1)),0),ROUNDUP(('Town inputs'!$J$29+(G129-1)*'Town inputs'!$D$48)*IF('Assumptions'!$D$3="Downside",'Town inputs'!$D$77,IF('Assumptions'!$D$3="Upside",'Town inputs'!$D$78,1)),0)))</x:f>
        <x:v>9</x:v>
      </x:c>
      <x:c r="H134" s="49" t="n">
        <x:f>IF(H129=0,0,MIN(ROUNDUP('Town inputs'!$E$48*IF('Assumptions'!$D$3="Downside",'Town inputs'!$D$77,IF('Assumptions'!$D$3="Upside",'Town inputs'!$D$78,1)),0),ROUNDUP(('Town inputs'!$J$29+(H129-1)*'Town inputs'!$D$48)*IF('Assumptions'!$D$3="Downside",'Town inputs'!$D$77,IF('Assumptions'!$D$3="Upside",'Town inputs'!$D$78,1)),0)))</x:f>
        <x:v>12</x:v>
      </x:c>
      <x:c r="I134" s="49" t="n">
        <x:f>IF(I129=0,0,MIN(ROUNDUP('Town inputs'!$E$48*IF('Assumptions'!$D$3="Downside",'Town inputs'!$D$77,IF('Assumptions'!$D$3="Upside",'Town inputs'!$D$78,1)),0),ROUNDUP(('Town inputs'!$J$29+(I129-1)*'Town inputs'!$D$48)*IF('Assumptions'!$D$3="Downside",'Town inputs'!$D$77,IF('Assumptions'!$D$3="Upside",'Town inputs'!$D$78,1)),0)))</x:f>
        <x:v>15</x:v>
      </x:c>
      <x:c r="J134" s="49" t="n">
        <x:f>IF(J129=0,0,MIN(ROUNDUP('Town inputs'!$E$48*IF('Assumptions'!$D$3="Downside",'Town inputs'!$D$77,IF('Assumptions'!$D$3="Upside",'Town inputs'!$D$78,1)),0),ROUNDUP(('Town inputs'!$J$29+(J129-1)*'Town inputs'!$D$48)*IF('Assumptions'!$D$3="Downside",'Town inputs'!$D$77,IF('Assumptions'!$D$3="Upside",'Town inputs'!$D$78,1)),0)))</x:f>
        <x:v>18</x:v>
      </x:c>
      <x:c r="K134" s="1"/>
      <x:c r="L134" s="1"/>
      <x:c r="M134" s="1"/>
    </x:row>
    <x:row r="135" ht="22" customHeight="1">
      <x:c r="A135" s="1"/>
      <x:c r="B135" s="1"/>
      <x:c r="C135" s="1" t="str">
        <x:v>Household capacity</x:v>
      </x:c>
      <x:c r="D135" s="49" t="n">
        <x:f>D134*'Assumptions'!$D$72</x:f>
        <x:v>0</x:v>
      </x:c>
      <x:c r="E135" s="49" t="n">
        <x:f>E134*'Assumptions'!$D$72</x:f>
        <x:v>120</x:v>
      </x:c>
      <x:c r="F135" s="49" t="n">
        <x:f>F134*'Assumptions'!$D$72</x:f>
        <x:v>240</x:v>
      </x:c>
      <x:c r="G135" s="49" t="n">
        <x:f>G134*'Assumptions'!$D$72</x:f>
        <x:v>360</x:v>
      </x:c>
      <x:c r="H135" s="49" t="n">
        <x:f>H134*'Assumptions'!$D$72</x:f>
        <x:v>480</x:v>
      </x:c>
      <x:c r="I135" s="49" t="n">
        <x:f>I134*'Assumptions'!$D$72</x:f>
        <x:v>600</x:v>
      </x:c>
      <x:c r="J135" s="49" t="n">
        <x:f>J134*'Assumptions'!$D$72</x:f>
        <x:v>720</x:v>
      </x:c>
      <x:c r="K135" s="1"/>
      <x:c r="L135" s="1"/>
      <x:c r="M135" s="1"/>
    </x:row>
    <x:row r="136" ht="22" customHeight="1">
      <x:c r="A136" s="1"/>
      <x:c r="B136" s="1"/>
      <x:c r="C136" s="1" t="str">
        <x:v>Unconstrained new demand</x:v>
      </x:c>
      <x:c r="D136" s="49" t="n">
        <x:f>MAX(0,D130-D133)*MIN(1,MIN('Town inputs'!$D$65,'Town inputs'!$D$63+MAX(0,D129-1)*'Town inputs'!$D$64)*IF('Assumptions'!$D$3="Downside",'Town inputs'!$D$75,IF('Assumptions'!$D$3="Upside",'Town inputs'!$D$76,1)))</x:f>
        <x:v>0</x:v>
      </x:c>
      <x:c r="E136" s="49" t="n">
        <x:f>MAX(0,E130-E133)*MIN(1,MIN('Town inputs'!$D$65,'Town inputs'!$D$63+MAX(0,E129-1)*'Town inputs'!$D$64)*IF('Assumptions'!$D$3="Downside",'Town inputs'!$D$75,IF('Assumptions'!$D$3="Upside",'Town inputs'!$D$76,1)))</x:f>
        <x:v>93.17062800000002</x:v>
      </x:c>
      <x:c r="F136" s="49" t="n">
        <x:f>MAX(0,F130-F133)*MIN(1,MIN('Town inputs'!$D$65,'Town inputs'!$D$63+MAX(0,F129-1)*'Town inputs'!$D$64)*IF('Assumptions'!$D$3="Downside",'Town inputs'!$D$75,IF('Assumptions'!$D$3="Upside",'Town inputs'!$D$76,1)))</x:f>
        <x:v>107.14622220000001</x:v>
      </x:c>
      <x:c r="G136" s="49" t="n">
        <x:f>MAX(0,G130-G133)*MIN(1,MIN('Town inputs'!$D$65,'Town inputs'!$D$63+MAX(0,G129-1)*'Town inputs'!$D$64)*IF('Assumptions'!$D$3="Downside",'Town inputs'!$D$75,IF('Assumptions'!$D$3="Upside",'Town inputs'!$D$76,1)))</x:f>
        <x:v>115.717919976</x:v>
      </x:c>
      <x:c r="H136" s="49" t="n">
        <x:f>MAX(0,H130-H133)*MIN(1,MIN('Town inputs'!$D$65,'Town inputs'!$D$63+MAX(0,H129-1)*'Town inputs'!$D$64)*IF('Assumptions'!$D$3="Downside",'Town inputs'!$D$75,IF('Assumptions'!$D$3="Upside",'Town inputs'!$D$76,1)))</x:f>
        <x:v>118.80373117536003</x:v>
      </x:c>
      <x:c r="I136" s="49" t="n">
        <x:f>MAX(0,I130-I133)*MIN(1,MIN('Town inputs'!$D$65,'Town inputs'!$D$63+MAX(0,I129-1)*'Town inputs'!$D$64)*IF('Assumptions'!$D$3="Downside",'Town inputs'!$D$75,IF('Assumptions'!$D$3="Upside",'Town inputs'!$D$76,1)))</x:f>
        <x:v>116.76709578378242</x:v>
      </x:c>
      <x:c r="J136" s="49" t="n">
        <x:f>MAX(0,J130-J133)*MIN(1,MIN('Town inputs'!$D$65,'Town inputs'!$D$63+MAX(0,J129-1)*'Town inputs'!$D$64)*IF('Assumptions'!$D$3="Downside",'Town inputs'!$D$75,IF('Assumptions'!$D$3="Upside",'Town inputs'!$D$76,1)))</x:f>
        <x:v>98.08436045837723</x:v>
      </x:c>
      <x:c r="K136" s="1"/>
      <x:c r="L136" s="1"/>
      <x:c r="M136" s="1"/>
    </x:row>
    <x:row r="137" ht="22" customHeight="1">
      <x:c r="A137" s="1"/>
      <x:c r="B137" s="1"/>
      <x:c r="C137" s="1" t="str">
        <x:v>New first-time households</x:v>
      </x:c>
      <x:c r="D137" s="11" t="n">
        <x:f>MIN(D136,MAX(0,D135-D132))</x:f>
        <x:v>0</x:v>
      </x:c>
      <x:c r="E137" s="11" t="n">
        <x:f>MIN(E136,MAX(0,E135-E132))</x:f>
        <x:v>93.17062800000002</x:v>
      </x:c>
      <x:c r="F137" s="11" t="n">
        <x:f>MIN(F136,MAX(0,F135-F132))</x:f>
        <x:v>107.14622220000001</x:v>
      </x:c>
      <x:c r="G137" s="11" t="n">
        <x:f>MIN(G136,MAX(0,G135-G132))</x:f>
        <x:v>115.717919976</x:v>
      </x:c>
      <x:c r="H137" s="11" t="n">
        <x:f>MIN(H136,MAX(0,H135-H132))</x:f>
        <x:v>118.80373117536003</x:v>
      </x:c>
      <x:c r="I137" s="11" t="n">
        <x:f>MIN(I136,MAX(0,I135-I132))</x:f>
        <x:v>116.76709578378242</x:v>
      </x:c>
      <x:c r="J137" s="11" t="n">
        <x:f>MIN(J136,MAX(0,J135-J132))</x:f>
        <x:v>98.08436045837723</x:v>
      </x:c>
      <x:c r="K137" s="1"/>
      <x:c r="L137" s="1"/>
      <x:c r="M137" s="1"/>
    </x:row>
    <x:row r="138" ht="22" customHeight="1">
      <x:c r="A138" s="1"/>
      <x:c r="B138" s="1"/>
      <x:c r="C138" s="1" t="str">
        <x:v>Ending active households</x:v>
      </x:c>
      <x:c r="D138" s="11" t="n">
        <x:f>D132+D137</x:f>
        <x:v>0</x:v>
      </x:c>
      <x:c r="E138" s="11" t="n">
        <x:f>E132+E137</x:f>
        <x:v>93.17062800000002</x:v>
      </x:c>
      <x:c r="F138" s="11" t="n">
        <x:f>F132+F137</x:f>
        <x:v>177.0241932</x:v>
      </x:c>
      <x:c r="G138" s="11" t="n">
        <x:f>G132+G137</x:f>
        <x:v>253.79679067200004</x:v>
      </x:c>
      <x:c r="H138" s="11" t="n">
        <x:f>H132+H137</x:f>
        <x:v>321.84116371296005</x:v>
      </x:c>
      <x:c r="I138" s="11" t="n">
        <x:f>I132+I137</x:f>
        <x:v>374.24002675415045</x:v>
      </x:c>
      <x:c r="J138" s="11" t="n">
        <x:f>J132+J137</x:f>
        <x:v>397.47638186169763</x:v>
      </x:c>
      <x:c r="K138" s="1"/>
      <x:c r="L138" s="1"/>
      <x:c r="M138" s="1"/>
    </x:row>
    <x:row r="139" ht="22" customHeight="1">
      <x:c r="A139" s="1"/>
      <x:c r="B139" s="1"/>
      <x:c r="C139" s="1" t="str">
        <x:v>Full-season equivalent households</x:v>
      </x:c>
      <x:c r="D139" s="49" t="n">
        <x:f>D132+D137*'Assumptions'!$D$71</x:f>
        <x:v>0</x:v>
      </x:c>
      <x:c r="E139" s="49" t="n">
        <x:f>E132+E137*'Assumptions'!$D$71</x:f>
        <x:v>46.58531400000001</x:v>
      </x:c>
      <x:c r="F139" s="49" t="n">
        <x:f>F132+F137*'Assumptions'!$D$71</x:f>
        <x:v>123.45108210000002</x:v>
      </x:c>
      <x:c r="G139" s="49" t="n">
        <x:f>G132+G137*'Assumptions'!$D$71</x:f>
        <x:v>195.93783068400003</x:v>
      </x:c>
      <x:c r="H139" s="49" t="n">
        <x:f>H132+H137*'Assumptions'!$D$71</x:f>
        <x:v>262.43929812528006</x:v>
      </x:c>
      <x:c r="I139" s="49" t="n">
        <x:f>I132+I137*'Assumptions'!$D$71</x:f>
        <x:v>315.8564788622593</x:v>
      </x:c>
      <x:c r="J139" s="49" t="n">
        <x:f>J132+J137*'Assumptions'!$D$71</x:f>
        <x:v>348.434201632509</x:v>
      </x:c>
      <x:c r="K139" s="1"/>
      <x:c r="L139" s="1"/>
      <x:c r="M139" s="1"/>
    </x:row>
    <x:row r="140" ht="22" customHeight="1">
      <x:c r="A140" s="1"/>
      <x:c r="B140" s="1"/>
      <x:c r="C140" s="1" t="str">
        <x:v>Cumulative ever-acquired households</x:v>
      </x:c>
      <x:c r="D140" s="11" t="n">
        <x:f>D133+D137</x:f>
        <x:v>0</x:v>
      </x:c>
      <x:c r="E140" s="11" t="n">
        <x:f>E133+E137</x:f>
        <x:v>93.17062800000002</x:v>
      </x:c>
      <x:c r="F140" s="11" t="n">
        <x:f>F133+F137</x:f>
        <x:v>200.31685020000003</x:v>
      </x:c>
      <x:c r="G140" s="11" t="n">
        <x:f>G133+G137</x:f>
        <x:v>316.03477017600005</x:v>
      </x:c>
      <x:c r="H140" s="11" t="n">
        <x:f>H133+H137</x:f>
        <x:v>434.8385013513601</x:v>
      </x:c>
      <x:c r="I140" s="11" t="n">
        <x:f>I133+I137</x:f>
        <x:v>551.6055971351425</x:v>
      </x:c>
      <x:c r="J140" s="11" t="n">
        <x:f>J133+J137</x:f>
        <x:v>649.6899575935197</x:v>
      </x:c>
      <x:c r="K140" s="1"/>
      <x:c r="L140" s="1"/>
      <x:c r="M140" s="1"/>
    </x:row>
    <x:row r="141" ht="22" customHeight="1">
      <x:c r="A141" s="1"/>
      <x:c r="B141" s="1"/>
      <x:c r="C141" s="1" t="str">
        <x:v>Ending payout-active providers</x:v>
      </x:c>
      <x:c r="D141" s="49" t="n">
        <x:f>MIN(D134,ROUNDUP(D138/'Assumptions'!$D$72,0))</x:f>
        <x:v>0</x:v>
      </x:c>
      <x:c r="E141" s="49" t="n">
        <x:f>MIN(E134,ROUNDUP(E138/'Assumptions'!$D$72,0))</x:f>
        <x:v>3</x:v>
      </x:c>
      <x:c r="F141" s="49" t="n">
        <x:f>MIN(F134,ROUNDUP(F138/'Assumptions'!$D$72,0))</x:f>
        <x:v>5</x:v>
      </x:c>
      <x:c r="G141" s="49" t="n">
        <x:f>MIN(G134,ROUNDUP(G138/'Assumptions'!$D$72,0))</x:f>
        <x:v>7</x:v>
      </x:c>
      <x:c r="H141" s="49" t="n">
        <x:f>MIN(H134,ROUNDUP(H138/'Assumptions'!$D$72,0))</x:f>
        <x:v>9</x:v>
      </x:c>
      <x:c r="I141" s="49" t="n">
        <x:f>MIN(I134,ROUNDUP(I138/'Assumptions'!$D$72,0))</x:f>
        <x:v>10</x:v>
      </x:c>
      <x:c r="J141" s="49" t="n">
        <x:f>MIN(J134,ROUNDUP(J138/'Assumptions'!$D$72,0))</x:f>
        <x:v>10</x:v>
      </x:c>
      <x:c r="K141" s="1"/>
      <x:c r="L141" s="1"/>
      <x:c r="M141" s="1"/>
    </x:row>
    <x:row r="142" ht="22" customHeight="1">
      <x:c r="A142" s="1"/>
      <x:c r="B142" s="1"/>
      <x:c r="C142" s="1" t="str">
        <x:v>Retained active providers</x:v>
      </x:c>
      <x:c r="D142" s="11" t="n">
        <x:f>0</x:f>
        <x:v>0</x:v>
      </x:c>
      <x:c r="E142" s="49" t="n">
        <x:f>D141*'Assumptions'!$D$73</x:f>
        <x:v>0</x:v>
      </x:c>
      <x:c r="F142" s="49" t="n">
        <x:f>E141*'Assumptions'!$D$73</x:f>
        <x:v>2.55</x:v>
      </x:c>
      <x:c r="G142" s="49" t="n">
        <x:f>F141*'Assumptions'!$D$73</x:f>
        <x:v>4.25</x:v>
      </x:c>
      <x:c r="H142" s="49" t="n">
        <x:f>G141*'Assumptions'!$D$73</x:f>
        <x:v>5.95</x:v>
      </x:c>
      <x:c r="I142" s="49" t="n">
        <x:f>H141*'Assumptions'!$D$73</x:f>
        <x:v>7.6499999999999995</x:v>
      </x:c>
      <x:c r="J142" s="49" t="n">
        <x:f>I141*'Assumptions'!$D$73</x:f>
        <x:v>8.5</x:v>
      </x:c>
      <x:c r="K142" s="1"/>
      <x:c r="L142" s="1"/>
      <x:c r="M142" s="1"/>
    </x:row>
    <x:row r="143" ht="22" customHeight="1">
      <x:c r="A143" s="1"/>
      <x:c r="B143" s="1"/>
      <x:c r="C143" s="1" t="str">
        <x:v>New / replacement active providers</x:v>
      </x:c>
      <x:c r="D143" s="11" t="n">
        <x:f>MAX(0,D141-D142)</x:f>
        <x:v>0</x:v>
      </x:c>
      <x:c r="E143" s="11" t="n">
        <x:f>MAX(0,E141-E142)</x:f>
        <x:v>3</x:v>
      </x:c>
      <x:c r="F143" s="11" t="n">
        <x:f>MAX(0,F141-F142)</x:f>
        <x:v>2.45</x:v>
      </x:c>
      <x:c r="G143" s="11" t="n">
        <x:f>MAX(0,G141-G142)</x:f>
        <x:v>2.75</x:v>
      </x:c>
      <x:c r="H143" s="11" t="n">
        <x:f>MAX(0,H141-H142)</x:f>
        <x:v>3.05</x:v>
      </x:c>
      <x:c r="I143" s="11" t="n">
        <x:f>MAX(0,I141-I142)</x:f>
        <x:v>2.3500000000000005</x:v>
      </x:c>
      <x:c r="J143" s="11" t="n">
        <x:f>MAX(0,J141-J142)</x:f>
        <x:v>1.5</x:v>
      </x:c>
      <x:c r="K143" s="1"/>
      <x:c r="L143" s="1"/>
      <x:c r="M143" s="1"/>
    </x:row>
    <x:row r="144" ht="22" customHeight="1">
      <x:c r="A144" s="1"/>
      <x:c r="B144" s="1"/>
      <x:c r="C144" s="1" t="str">
        <x:v>Average payout-active providers</x:v>
      </x:c>
      <x:c r="D144" s="49" t="n">
        <x:f>D142+D143*'Assumptions'!$D$71</x:f>
        <x:v>0</x:v>
      </x:c>
      <x:c r="E144" s="49" t="n">
        <x:f>E142+E143*'Assumptions'!$D$71</x:f>
        <x:v>1.5</x:v>
      </x:c>
      <x:c r="F144" s="49" t="n">
        <x:f>F142+F143*'Assumptions'!$D$71</x:f>
        <x:v>3.775</x:v>
      </x:c>
      <x:c r="G144" s="49" t="n">
        <x:f>G142+G143*'Assumptions'!$D$71</x:f>
        <x:v>5.625</x:v>
      </x:c>
      <x:c r="H144" s="49" t="n">
        <x:f>H142+H143*'Assumptions'!$D$71</x:f>
        <x:v>7.475</x:v>
      </x:c>
      <x:c r="I144" s="49" t="n">
        <x:f>I142+I143*'Assumptions'!$D$71</x:f>
        <x:v>8.825</x:v>
      </x:c>
      <x:c r="J144" s="49" t="n">
        <x:f>J142+J143*'Assumptions'!$D$71</x:f>
        <x:v>9.25</x:v>
      </x:c>
      <x:c r="K144" s="1"/>
      <x:c r="L144" s="1"/>
      <x:c r="M144" s="1"/>
    </x:row>
    <x:row r="145" ht="22" customHeight="1">
      <x:c r="A145" s="1"/>
      <x:c r="B145" s="1"/>
      <x:c r="C145" s="1" t="str">
        <x:v>Cash acquisition spend</x:v>
      </x:c>
      <x:c r="D145" s="50" t="n">
        <x:f>D137*'Town inputs'!$F$48*(1-'Town inputs'!$D$66)^0*IF('Assumptions'!$D$3="Downside",'Town inputs'!$D$79,IF('Assumptions'!$D$3="Upside",'Town inputs'!$D$80,1))*(1+('Town inputs'!$D$103/'Town inputs'!$D$104-1)*0/6)</x:f>
        <x:v>0</x:v>
      </x:c>
      <x:c r="E145" s="50" t="n">
        <x:f>E137*'Town inputs'!$F$48*(1-'Town inputs'!$D$66)^1*IF('Assumptions'!$D$3="Downside",'Town inputs'!$D$79,IF('Assumptions'!$D$3="Upside",'Town inputs'!$D$80,1))*(1+('Town inputs'!$D$103/'Town inputs'!$D$104-1)*1/6)</x:f>
        <x:v>4771.78787624797</x:v>
      </x:c>
      <x:c r="F145" s="50" t="n">
        <x:f>F137*'Town inputs'!$F$48*(1-'Town inputs'!$D$66)^2*IF('Assumptions'!$D$3="Downside",'Town inputs'!$D$79,IF('Assumptions'!$D$3="Upside",'Town inputs'!$D$80,1))*(1+('Town inputs'!$D$103/'Town inputs'!$D$104-1)*2/6)</x:f>
        <x:v>5107.885905149314</x:v>
      </x:c>
      <x:c r="G145" s="50" t="n">
        <x:f>G137*'Town inputs'!$F$48*(1-'Town inputs'!$D$66)^3*IF('Assumptions'!$D$3="Downside",'Town inputs'!$D$79,IF('Assumptions'!$D$3="Upside",'Town inputs'!$D$80,1))*(1+('Town inputs'!$D$103/'Town inputs'!$D$104-1)*3/6)</x:f>
        <x:v>5132.6609879406615</x:v>
      </x:c>
      <x:c r="H145" s="50" t="n">
        <x:f>H137*'Town inputs'!$F$48*(1-'Town inputs'!$D$66)^4*IF('Assumptions'!$D$3="Downside",'Town inputs'!$D$79,IF('Assumptions'!$D$3="Upside",'Town inputs'!$D$80,1))*(1+('Town inputs'!$D$103/'Town inputs'!$D$104-1)*4/6)</x:f>
        <x:v>4900.690138280574</x:v>
      </x:c>
      <x:c r="I145" s="50" t="n">
        <x:f>I137*'Town inputs'!$F$48*(1-'Town inputs'!$D$66)^5*IF('Assumptions'!$D$3="Downside",'Town inputs'!$D$79,IF('Assumptions'!$D$3="Upside",'Town inputs'!$D$80,1))*(1+('Town inputs'!$D$103/'Town inputs'!$D$104-1)*5/6)</x:f>
        <x:v>4477.46338834961</x:v>
      </x:c>
      <x:c r="J145" s="50" t="n">
        <x:f>J137*'Town inputs'!$F$48*(1-'Town inputs'!$D$66)^6*IF('Assumptions'!$D$3="Downside",'Town inputs'!$D$79,IF('Assumptions'!$D$3="Upside",'Town inputs'!$D$80,1))*(1+('Town inputs'!$D$103/'Town inputs'!$D$104-1)*6/6)</x:f>
        <x:v>3494.5077430125684</x:v>
      </x:c>
      <x:c r="K145" s="1"/>
      <x:c r="L145" s="1"/>
      <x:c r="M145" s="1"/>
    </x:row>
    <x:row r="146" ht="22" customHeight="1">
      <x:c r="A146" s="1"/>
      <x:c r="B146" s="1"/>
      <x:c r="C146" s="1" t="str">
        <x:v>Launch spend</x:v>
      </x:c>
      <x:c r="D146" s="50" t="n">
        <x:f>IF(D129=1,'Town inputs'!$G$48*(1+'Town inputs'!$D$67)^0,0)</x:f>
        <x:v>0</x:v>
      </x:c>
      <x:c r="E146" s="50" t="n">
        <x:f>IF(E129=1,'Town inputs'!$G$48*(1+'Town inputs'!$D$67)^1,0)</x:f>
        <x:v>10300</x:v>
      </x:c>
      <x:c r="F146" s="50" t="n">
        <x:f>IF(F129=1,'Town inputs'!$G$48*(1+'Town inputs'!$D$67)^2,0)</x:f>
        <x:v>0</x:v>
      </x:c>
      <x:c r="G146" s="50" t="n">
        <x:f>IF(G129=1,'Town inputs'!$G$48*(1+'Town inputs'!$D$67)^3,0)</x:f>
        <x:v>0</x:v>
      </x:c>
      <x:c r="H146" s="50" t="n">
        <x:f>IF(H129=1,'Town inputs'!$G$48*(1+'Town inputs'!$D$67)^4,0)</x:f>
        <x:v>0</x:v>
      </x:c>
      <x:c r="I146" s="50" t="n">
        <x:f>IF(I129=1,'Town inputs'!$G$48*(1+'Town inputs'!$D$67)^5,0)</x:f>
        <x:v>0</x:v>
      </x:c>
      <x:c r="J146" s="50" t="n">
        <x:f>IF(J129=1,'Town inputs'!$G$48*(1+'Town inputs'!$D$67)^6,0)</x:f>
        <x:v>0</x:v>
      </x:c>
      <x:c r="K146" s="1"/>
      <x:c r="L146" s="1"/>
      <x:c r="M146" s="1"/>
    </x:row>
    <x:row r="147" ht="22" customHeight="1">
      <x:c r="A147" s="1"/>
      <x:c r="B147" s="1"/>
      <x:c r="C147" s="1" t="str">
        <x:v>Annual local coverage</x:v>
      </x:c>
      <x:c r="D147" s="50" t="n">
        <x:f>IF(D129&gt;0,'Town inputs'!$H$48*(1+'Town inputs'!$D$67)^0*IF(D129=1,'Assumptions'!$D$71,1),0)</x:f>
        <x:v>0</x:v>
      </x:c>
      <x:c r="E147" s="50" t="n">
        <x:f>IF(E129&gt;0,'Town inputs'!$H$48*(1+'Town inputs'!$D$67)^1*IF(E129=1,'Assumptions'!$D$71,1),0)</x:f>
        <x:v>2060</x:v>
      </x:c>
      <x:c r="F147" s="50" t="n">
        <x:f>IF(F129&gt;0,'Town inputs'!$H$48*(1+'Town inputs'!$D$67)^2*IF(F129=1,'Assumptions'!$D$71,1),0)</x:f>
        <x:v>4243.599999999999</x:v>
      </x:c>
      <x:c r="G147" s="50" t="n">
        <x:f>IF(G129&gt;0,'Town inputs'!$H$48*(1+'Town inputs'!$D$67)^3*IF(G129=1,'Assumptions'!$D$71,1),0)</x:f>
        <x:v>4370.908</x:v>
      </x:c>
      <x:c r="H147" s="50" t="n">
        <x:f>IF(H129&gt;0,'Town inputs'!$H$48*(1+'Town inputs'!$D$67)^4*IF(H129=1,'Assumptions'!$D$71,1),0)</x:f>
        <x:v>4502.03524</x:v>
      </x:c>
      <x:c r="I147" s="50" t="n">
        <x:f>IF(I129&gt;0,'Town inputs'!$H$48*(1+'Town inputs'!$D$67)^5*IF(I129=1,'Assumptions'!$D$71,1),0)</x:f>
        <x:v>4637.096297200001</x:v>
      </x:c>
      <x:c r="J147" s="50" t="n">
        <x:f>IF(J129&gt;0,'Town inputs'!$H$48*(1+'Town inputs'!$D$67)^6*IF(J129=1,'Assumptions'!$D$71,1),0)</x:f>
        <x:v>4776.209186116001</x:v>
      </x:c>
      <x:c r="K147" s="1"/>
      <x:c r="L147" s="1"/>
      <x:c r="M147" s="1"/>
    </x:row>
    <x:row r="148" ht="22" customHeight="1">
      <x:c r="A148" s="1"/>
      <x:c r="B148" s="1"/>
      <x:c r="C148" s="1"/>
      <x:c r="D148" s="6"/>
      <x:c r="E148" s="6"/>
      <x:c r="F148" s="6"/>
      <x:c r="G148" s="6"/>
      <x:c r="H148" s="6"/>
      <x:c r="I148" s="6"/>
      <x:c r="J148" s="6"/>
      <x:c r="K148" s="1"/>
      <x:c r="L148" s="1"/>
      <x:c r="M148" s="1"/>
    </x:row>
    <x:row r="149" ht="22" customHeight="1">
      <x:c r="A149" s="1"/>
      <x:c r="B149" s="1"/>
      <x:c r="C149" s="1"/>
      <x:c r="D149" s="6"/>
      <x:c r="E149" s="6"/>
      <x:c r="F149" s="6"/>
      <x:c r="G149" s="6"/>
      <x:c r="H149" s="6"/>
      <x:c r="I149" s="6"/>
      <x:c r="J149" s="6"/>
      <x:c r="K149" s="1"/>
      <x:c r="L149" s="1"/>
      <x:c r="M149" s="1"/>
    </x:row>
    <x:row r="150" ht="22" customHeight="1">
      <x:c r="A150" s="1"/>
      <x:c r="B150" s="1"/>
      <x:c r="C150" s="5" t="str">
        <x:v>Berkeley | Ocean County</x:v>
      </x:c>
      <x:c r="D150" s="26"/>
      <x:c r="E150" s="26"/>
      <x:c r="F150" s="26"/>
      <x:c r="G150" s="26"/>
      <x:c r="H150" s="26"/>
      <x:c r="I150" s="26"/>
      <x:c r="J150" s="26"/>
      <x:c r="K150" s="1"/>
      <x:c r="L150" s="1"/>
      <x:c r="M150" s="1"/>
    </x:row>
    <x:row r="151" ht="22" customHeight="1">
      <x:c r="A151" s="1"/>
      <x:c r="B151" s="1"/>
      <x:c r="C151" s="1" t="str">
        <x:v>Years since launch</x:v>
      </x:c>
      <x:c r="D151" s="49" t="n">
        <x:f>MAX(0,2027-'Town inputs'!$D$30+1)</x:f>
        <x:v>0</x:v>
      </x:c>
      <x:c r="E151" s="49" t="n">
        <x:f>MAX(0,2028-'Town inputs'!$D$30+1)</x:f>
        <x:v>0</x:v>
      </x:c>
      <x:c r="F151" s="49" t="n">
        <x:f>MAX(0,2029-'Town inputs'!$D$30+1)</x:f>
        <x:v>1</x:v>
      </x:c>
      <x:c r="G151" s="49" t="n">
        <x:f>MAX(0,2030-'Town inputs'!$D$30+1)</x:f>
        <x:v>2</x:v>
      </x:c>
      <x:c r="H151" s="49" t="n">
        <x:f>MAX(0,2031-'Town inputs'!$D$30+1)</x:f>
        <x:v>3</x:v>
      </x:c>
      <x:c r="I151" s="49" t="n">
        <x:f>MAX(0,2032-'Town inputs'!$D$30+1)</x:f>
        <x:v>4</x:v>
      </x:c>
      <x:c r="J151" s="49" t="n">
        <x:f>MAX(0,2033-'Town inputs'!$D$30+1)</x:f>
        <x:v>5</x:v>
      </x:c>
      <x:c r="K151" s="1"/>
      <x:c r="L151" s="1"/>
      <x:c r="M151" s="1"/>
    </x:row>
    <x:row r="152" ht="22" customHeight="1">
      <x:c r="A152" s="1"/>
      <x:c r="B152" s="1"/>
      <x:c r="C152" s="1" t="str">
        <x:v>Assumed outsourcing pool</x:v>
      </x:c>
      <x:c r="D152" s="49" t="n">
        <x:f>IF(D151&gt;0,'Town inputs'!$D$11*'Town inputs'!$E$11*'Town inputs'!$E$30*MIN(1,'Town inputs'!$F$30*IF('Assumptions'!$D$3="Downside",'Town inputs'!$D$73,IF('Assumptions'!$D$3="Upside",'Town inputs'!$D$74,1))),0)</x:f>
        <x:v>0</x:v>
      </x:c>
      <x:c r="E152" s="49" t="n">
        <x:f>IF(E151&gt;0,'Town inputs'!$D$11*'Town inputs'!$E$11*'Town inputs'!$E$30*MIN(1,'Town inputs'!$F$30*IF('Assumptions'!$D$3="Downside",'Town inputs'!$D$73,IF('Assumptions'!$D$3="Upside",'Town inputs'!$D$74,1))),0)</x:f>
        <x:v>0</x:v>
      </x:c>
      <x:c r="F152" s="49" t="n">
        <x:f>IF(F151&gt;0,'Town inputs'!$D$11*'Town inputs'!$E$11*'Town inputs'!$E$30*MIN(1,'Town inputs'!$F$30*IF('Assumptions'!$D$3="Downside",'Town inputs'!$D$73,IF('Assumptions'!$D$3="Upside",'Town inputs'!$D$74,1))),0)</x:f>
        <x:v>4097.845499999999</x:v>
      </x:c>
      <x:c r="G152" s="49" t="n">
        <x:f>IF(G151&gt;0,'Town inputs'!$D$11*'Town inputs'!$E$11*'Town inputs'!$E$30*MIN(1,'Town inputs'!$F$30*IF('Assumptions'!$D$3="Downside",'Town inputs'!$D$73,IF('Assumptions'!$D$3="Upside",'Town inputs'!$D$74,1))),0)</x:f>
        <x:v>4097.845499999999</x:v>
      </x:c>
      <x:c r="H152" s="49" t="n">
        <x:f>IF(H151&gt;0,'Town inputs'!$D$11*'Town inputs'!$E$11*'Town inputs'!$E$30*MIN(1,'Town inputs'!$F$30*IF('Assumptions'!$D$3="Downside",'Town inputs'!$D$73,IF('Assumptions'!$D$3="Upside",'Town inputs'!$D$74,1))),0)</x:f>
        <x:v>4097.845499999999</x:v>
      </x:c>
      <x:c r="I152" s="49" t="n">
        <x:f>IF(I151&gt;0,'Town inputs'!$D$11*'Town inputs'!$E$11*'Town inputs'!$E$30*MIN(1,'Town inputs'!$F$30*IF('Assumptions'!$D$3="Downside",'Town inputs'!$D$73,IF('Assumptions'!$D$3="Upside",'Town inputs'!$D$74,1))),0)</x:f>
        <x:v>4097.845499999999</x:v>
      </x:c>
      <x:c r="J152" s="49" t="n">
        <x:f>IF(J151&gt;0,'Town inputs'!$D$11*'Town inputs'!$E$11*'Town inputs'!$E$30*MIN(1,'Town inputs'!$F$30*IF('Assumptions'!$D$3="Downside",'Town inputs'!$D$73,IF('Assumptions'!$D$3="Upside",'Town inputs'!$D$74,1))),0)</x:f>
        <x:v>4097.845499999999</x:v>
      </x:c>
      <x:c r="K152" s="1"/>
      <x:c r="L152" s="1"/>
      <x:c r="M152" s="1"/>
    </x:row>
    <x:row r="153" ht="22" customHeight="1">
      <x:c r="A153" s="1"/>
      <x:c r="B153" s="1"/>
      <x:c r="C153" s="1" t="str">
        <x:v>Opening active households</x:v>
      </x:c>
      <x:c r="D153" s="11" t="n">
        <x:f>0</x:f>
        <x:v>0</x:v>
      </x:c>
      <x:c r="E153" s="11" t="n">
        <x:f>D160</x:f>
        <x:v>0</x:v>
      </x:c>
      <x:c r="F153" s="11" t="n">
        <x:f>E160</x:f>
        <x:v>0</x:v>
      </x:c>
      <x:c r="G153" s="11" t="n">
        <x:f>F160</x:f>
        <x:v>320</x:v>
      </x:c>
      <x:c r="H153" s="11" t="n">
        <x:f>G160</x:f>
        <x:v>627.38455</x:v>
      </x:c>
      <x:c r="I153" s="11" t="n">
        <x:f>H160</x:f>
        <x:v>909.914954</x:v>
      </x:c>
      <x:c r="J153" s="11" t="n">
        <x:f>I160</x:f>
        <x:v>1146.81947224</x:v>
      </x:c>
      <x:c r="K153" s="1"/>
      <x:c r="L153" s="1"/>
      <x:c r="M153" s="1"/>
    </x:row>
    <x:row r="154" ht="22" customHeight="1">
      <x:c r="A154" s="1"/>
      <x:c r="B154" s="1"/>
      <x:c r="C154" s="1" t="str">
        <x:v>Retained households</x:v>
      </x:c>
      <x:c r="D154" s="49" t="n">
        <x:f>D153*'Assumptions'!D12</x:f>
        <x:v>0</x:v>
      </x:c>
      <x:c r="E154" s="49" t="n">
        <x:f>E153*'Assumptions'!E12</x:f>
        <x:v>0</x:v>
      </x:c>
      <x:c r="F154" s="49" t="n">
        <x:f>F153*'Assumptions'!F12</x:f>
        <x:v>0</x:v>
      </x:c>
      <x:c r="G154" s="49" t="n">
        <x:f>G153*'Assumptions'!G12</x:f>
        <x:v>249.60000000000002</x:v>
      </x:c>
      <x:c r="H154" s="49" t="n">
        <x:f>H153*'Assumptions'!H12</x:f>
        <x:v>501.90764</x:v>
      </x:c>
      <x:c r="I154" s="49" t="n">
        <x:f>I153*'Assumptions'!I12</x:f>
        <x:v>727.9319632</x:v>
      </x:c>
      <x:c r="J154" s="49" t="n">
        <x:f>J153*'Assumptions'!J12</x:f>
        <x:v>917.4555777920001</x:v>
      </x:c>
      <x:c r="K154" s="1"/>
      <x:c r="L154" s="1"/>
      <x:c r="M154" s="1"/>
    </x:row>
    <x:row r="155" ht="22" customHeight="1">
      <x:c r="A155" s="1"/>
      <x:c r="B155" s="1"/>
      <x:c r="C155" s="1" t="str">
        <x:v>Previously acquired households</x:v>
      </x:c>
      <x:c r="D155" s="11" t="n">
        <x:f>0</x:f>
        <x:v>0</x:v>
      </x:c>
      <x:c r="E155" s="11" t="n">
        <x:f>D162</x:f>
        <x:v>0</x:v>
      </x:c>
      <x:c r="F155" s="11" t="n">
        <x:f>E162</x:f>
        <x:v>0</x:v>
      </x:c>
      <x:c r="G155" s="11" t="n">
        <x:f>F162</x:f>
        <x:v>320</x:v>
      </x:c>
      <x:c r="H155" s="11" t="n">
        <x:f>G162</x:f>
        <x:v>697.78455</x:v>
      </x:c>
      <x:c r="I155" s="11" t="n">
        <x:f>H162</x:f>
        <x:v>1105.7918639999998</x:v>
      </x:c>
      <x:c r="J155" s="11" t="n">
        <x:f>I162</x:f>
        <x:v>1524.6793730399997</x:v>
      </x:c>
      <x:c r="K155" s="1"/>
      <x:c r="L155" s="1"/>
      <x:c r="M155" s="1"/>
    </x:row>
    <x:row r="156" ht="22" customHeight="1">
      <x:c r="A156" s="1"/>
      <x:c r="B156" s="1"/>
      <x:c r="C156" s="1" t="str">
        <x:v>Qualified provider capacity plan</x:v>
      </x:c>
      <x:c r="D156" s="49" t="n">
        <x:f>IF(D151=0,0,MIN(ROUNDUP('Town inputs'!$E$49*IF('Assumptions'!$D$3="Downside",'Town inputs'!$D$77,IF('Assumptions'!$D$3="Upside",'Town inputs'!$D$78,1)),0),ROUNDUP(('Town inputs'!$J$30+(D151-1)*'Town inputs'!$D$49)*IF('Assumptions'!$D$3="Downside",'Town inputs'!$D$77,IF('Assumptions'!$D$3="Upside",'Town inputs'!$D$78,1)),0)))</x:f>
        <x:v>0</x:v>
      </x:c>
      <x:c r="E156" s="49" t="n">
        <x:f>IF(E151=0,0,MIN(ROUNDUP('Town inputs'!$E$49*IF('Assumptions'!$D$3="Downside",'Town inputs'!$D$77,IF('Assumptions'!$D$3="Upside",'Town inputs'!$D$78,1)),0),ROUNDUP(('Town inputs'!$J$30+(E151-1)*'Town inputs'!$D$49)*IF('Assumptions'!$D$3="Downside",'Town inputs'!$D$77,IF('Assumptions'!$D$3="Upside",'Town inputs'!$D$78,1)),0)))</x:f>
        <x:v>0</x:v>
      </x:c>
      <x:c r="F156" s="49" t="n">
        <x:f>IF(F151=0,0,MIN(ROUNDUP('Town inputs'!$E$49*IF('Assumptions'!$D$3="Downside",'Town inputs'!$D$77,IF('Assumptions'!$D$3="Upside",'Town inputs'!$D$78,1)),0),ROUNDUP(('Town inputs'!$J$30+(F151-1)*'Town inputs'!$D$49)*IF('Assumptions'!$D$3="Downside",'Town inputs'!$D$77,IF('Assumptions'!$D$3="Upside",'Town inputs'!$D$78,1)),0)))</x:f>
        <x:v>8</x:v>
      </x:c>
      <x:c r="G156" s="49" t="n">
        <x:f>IF(G151=0,0,MIN(ROUNDUP('Town inputs'!$E$49*IF('Assumptions'!$D$3="Downside",'Town inputs'!$D$77,IF('Assumptions'!$D$3="Upside",'Town inputs'!$D$78,1)),0),ROUNDUP(('Town inputs'!$J$30+(G151-1)*'Town inputs'!$D$49)*IF('Assumptions'!$D$3="Downside",'Town inputs'!$D$77,IF('Assumptions'!$D$3="Upside",'Town inputs'!$D$78,1)),0)))</x:f>
        <x:v>16</x:v>
      </x:c>
      <x:c r="H156" s="49" t="n">
        <x:f>IF(H151=0,0,MIN(ROUNDUP('Town inputs'!$E$49*IF('Assumptions'!$D$3="Downside",'Town inputs'!$D$77,IF('Assumptions'!$D$3="Upside",'Town inputs'!$D$78,1)),0),ROUNDUP(('Town inputs'!$J$30+(H151-1)*'Town inputs'!$D$49)*IF('Assumptions'!$D$3="Downside",'Town inputs'!$D$77,IF('Assumptions'!$D$3="Upside",'Town inputs'!$D$78,1)),0)))</x:f>
        <x:v>24</x:v>
      </x:c>
      <x:c r="I156" s="49" t="n">
        <x:f>IF(I151=0,0,MIN(ROUNDUP('Town inputs'!$E$49*IF('Assumptions'!$D$3="Downside",'Town inputs'!$D$77,IF('Assumptions'!$D$3="Upside",'Town inputs'!$D$78,1)),0),ROUNDUP(('Town inputs'!$J$30+(I151-1)*'Town inputs'!$D$49)*IF('Assumptions'!$D$3="Downside",'Town inputs'!$D$77,IF('Assumptions'!$D$3="Upside",'Town inputs'!$D$78,1)),0)))</x:f>
        <x:v>32</x:v>
      </x:c>
      <x:c r="J156" s="49" t="n">
        <x:f>IF(J151=0,0,MIN(ROUNDUP('Town inputs'!$E$49*IF('Assumptions'!$D$3="Downside",'Town inputs'!$D$77,IF('Assumptions'!$D$3="Upside",'Town inputs'!$D$78,1)),0),ROUNDUP(('Town inputs'!$J$30+(J151-1)*'Town inputs'!$D$49)*IF('Assumptions'!$D$3="Downside",'Town inputs'!$D$77,IF('Assumptions'!$D$3="Upside",'Town inputs'!$D$78,1)),0)))</x:f>
        <x:v>40</x:v>
      </x:c>
      <x:c r="K156" s="1"/>
      <x:c r="L156" s="1"/>
      <x:c r="M156" s="1"/>
    </x:row>
    <x:row r="157" ht="22" customHeight="1">
      <x:c r="A157" s="1"/>
      <x:c r="B157" s="1"/>
      <x:c r="C157" s="1" t="str">
        <x:v>Household capacity</x:v>
      </x:c>
      <x:c r="D157" s="49" t="n">
        <x:f>D156*'Assumptions'!$D$72</x:f>
        <x:v>0</x:v>
      </x:c>
      <x:c r="E157" s="49" t="n">
        <x:f>E156*'Assumptions'!$D$72</x:f>
        <x:v>0</x:v>
      </x:c>
      <x:c r="F157" s="49" t="n">
        <x:f>F156*'Assumptions'!$D$72</x:f>
        <x:v>320</x:v>
      </x:c>
      <x:c r="G157" s="49" t="n">
        <x:f>G156*'Assumptions'!$D$72</x:f>
        <x:v>640</x:v>
      </x:c>
      <x:c r="H157" s="49" t="n">
        <x:f>H156*'Assumptions'!$D$72</x:f>
        <x:v>960</x:v>
      </x:c>
      <x:c r="I157" s="49" t="n">
        <x:f>I156*'Assumptions'!$D$72</x:f>
        <x:v>1280</x:v>
      </x:c>
      <x:c r="J157" s="49" t="n">
        <x:f>J156*'Assumptions'!$D$72</x:f>
        <x:v>1600</x:v>
      </x:c>
      <x:c r="K157" s="1"/>
      <x:c r="L157" s="1"/>
      <x:c r="M157" s="1"/>
    </x:row>
    <x:row r="158" ht="22" customHeight="1">
      <x:c r="A158" s="1"/>
      <x:c r="B158" s="1"/>
      <x:c r="C158" s="1" t="str">
        <x:v>Unconstrained new demand</x:v>
      </x:c>
      <x:c r="D158" s="49" t="n">
        <x:f>MAX(0,D152-D155)*MIN(1,MIN('Town inputs'!$D$65,'Town inputs'!$D$63+MAX(0,D151-1)*'Town inputs'!$D$64)*IF('Assumptions'!$D$3="Downside",'Town inputs'!$D$75,IF('Assumptions'!$D$3="Upside",'Town inputs'!$D$76,1)))</x:f>
        <x:v>0</x:v>
      </x:c>
      <x:c r="E158" s="49" t="n">
        <x:f>MAX(0,E152-E155)*MIN(1,MIN('Town inputs'!$D$65,'Town inputs'!$D$63+MAX(0,E151-1)*'Town inputs'!$D$64)*IF('Assumptions'!$D$3="Downside",'Town inputs'!$D$75,IF('Assumptions'!$D$3="Upside",'Town inputs'!$D$76,1)))</x:f>
        <x:v>0</x:v>
      </x:c>
      <x:c r="F158" s="49" t="n">
        <x:f>MAX(0,F152-F155)*MIN(1,MIN('Town inputs'!$D$65,'Town inputs'!$D$63+MAX(0,F151-1)*'Town inputs'!$D$64)*IF('Assumptions'!$D$3="Downside",'Town inputs'!$D$75,IF('Assumptions'!$D$3="Upside",'Town inputs'!$D$76,1)))</x:f>
        <x:v>327.82764</x:v>
      </x:c>
      <x:c r="G158" s="49" t="n">
        <x:f>MAX(0,G152-G155)*MIN(1,MIN('Town inputs'!$D$65,'Town inputs'!$D$63+MAX(0,G151-1)*'Town inputs'!$D$64)*IF('Assumptions'!$D$3="Downside",'Town inputs'!$D$75,IF('Assumptions'!$D$3="Upside",'Town inputs'!$D$76,1)))</x:f>
        <x:v>377.78454999999997</x:v>
      </x:c>
      <x:c r="H158" s="49" t="n">
        <x:f>MAX(0,H152-H155)*MIN(1,MIN('Town inputs'!$D$65,'Town inputs'!$D$63+MAX(0,H151-1)*'Town inputs'!$D$64)*IF('Assumptions'!$D$3="Downside",'Town inputs'!$D$75,IF('Assumptions'!$D$3="Upside",'Town inputs'!$D$76,1)))</x:f>
        <x:v>408.00731399999995</x:v>
      </x:c>
      <x:c r="I158" s="49" t="n">
        <x:f>MAX(0,I152-I155)*MIN(1,MIN('Town inputs'!$D$65,'Town inputs'!$D$63+MAX(0,I151-1)*'Town inputs'!$D$64)*IF('Assumptions'!$D$3="Downside",'Town inputs'!$D$75,IF('Assumptions'!$D$3="Upside",'Town inputs'!$D$76,1)))</x:f>
        <x:v>418.88750904</x:v>
      </x:c>
      <x:c r="J158" s="49" t="n">
        <x:f>MAX(0,J152-J155)*MIN(1,MIN('Town inputs'!$D$65,'Town inputs'!$D$63+MAX(0,J151-1)*'Town inputs'!$D$64)*IF('Assumptions'!$D$3="Downside",'Town inputs'!$D$75,IF('Assumptions'!$D$3="Upside",'Town inputs'!$D$76,1)))</x:f>
        <x:v>411.7065803136</x:v>
      </x:c>
      <x:c r="K158" s="1"/>
      <x:c r="L158" s="1"/>
      <x:c r="M158" s="1"/>
    </x:row>
    <x:row r="159" ht="22" customHeight="1">
      <x:c r="A159" s="1"/>
      <x:c r="B159" s="1"/>
      <x:c r="C159" s="1" t="str">
        <x:v>New first-time households</x:v>
      </x:c>
      <x:c r="D159" s="11" t="n">
        <x:f>MIN(D158,MAX(0,D157-D154))</x:f>
        <x:v>0</x:v>
      </x:c>
      <x:c r="E159" s="11" t="n">
        <x:f>MIN(E158,MAX(0,E157-E154))</x:f>
        <x:v>0</x:v>
      </x:c>
      <x:c r="F159" s="11" t="n">
        <x:f>MIN(F158,MAX(0,F157-F154))</x:f>
        <x:v>320</x:v>
      </x:c>
      <x:c r="G159" s="11" t="n">
        <x:f>MIN(G158,MAX(0,G157-G154))</x:f>
        <x:v>377.78454999999997</x:v>
      </x:c>
      <x:c r="H159" s="11" t="n">
        <x:f>MIN(H158,MAX(0,H157-H154))</x:f>
        <x:v>408.00731399999995</x:v>
      </x:c>
      <x:c r="I159" s="11" t="n">
        <x:f>MIN(I158,MAX(0,I157-I154))</x:f>
        <x:v>418.88750904</x:v>
      </x:c>
      <x:c r="J159" s="11" t="n">
        <x:f>MIN(J158,MAX(0,J157-J154))</x:f>
        <x:v>411.7065803136</x:v>
      </x:c>
      <x:c r="K159" s="1"/>
      <x:c r="L159" s="1"/>
      <x:c r="M159" s="1"/>
    </x:row>
    <x:row r="160" ht="22" customHeight="1">
      <x:c r="A160" s="1"/>
      <x:c r="B160" s="1"/>
      <x:c r="C160" s="1" t="str">
        <x:v>Ending active households</x:v>
      </x:c>
      <x:c r="D160" s="11" t="n">
        <x:f>D154+D159</x:f>
        <x:v>0</x:v>
      </x:c>
      <x:c r="E160" s="11" t="n">
        <x:f>E154+E159</x:f>
        <x:v>0</x:v>
      </x:c>
      <x:c r="F160" s="11" t="n">
        <x:f>F154+F159</x:f>
        <x:v>320</x:v>
      </x:c>
      <x:c r="G160" s="11" t="n">
        <x:f>G154+G159</x:f>
        <x:v>627.38455</x:v>
      </x:c>
      <x:c r="H160" s="11" t="n">
        <x:f>H154+H159</x:f>
        <x:v>909.914954</x:v>
      </x:c>
      <x:c r="I160" s="11" t="n">
        <x:f>I154+I159</x:f>
        <x:v>1146.81947224</x:v>
      </x:c>
      <x:c r="J160" s="11" t="n">
        <x:f>J154+J159</x:f>
        <x:v>1329.1621581056002</x:v>
      </x:c>
      <x:c r="K160" s="1"/>
      <x:c r="L160" s="1"/>
      <x:c r="M160" s="1"/>
    </x:row>
    <x:row r="161" ht="22" customHeight="1">
      <x:c r="A161" s="1"/>
      <x:c r="B161" s="1"/>
      <x:c r="C161" s="1" t="str">
        <x:v>Full-season equivalent households</x:v>
      </x:c>
      <x:c r="D161" s="49" t="n">
        <x:f>D154+D159*'Assumptions'!$D$71</x:f>
        <x:v>0</x:v>
      </x:c>
      <x:c r="E161" s="49" t="n">
        <x:f>E154+E159*'Assumptions'!$D$71</x:f>
        <x:v>0</x:v>
      </x:c>
      <x:c r="F161" s="49" t="n">
        <x:f>F154+F159*'Assumptions'!$D$71</x:f>
        <x:v>160</x:v>
      </x:c>
      <x:c r="G161" s="49" t="n">
        <x:f>G154+G159*'Assumptions'!$D$71</x:f>
        <x:v>438.492275</x:v>
      </x:c>
      <x:c r="H161" s="49" t="n">
        <x:f>H154+H159*'Assumptions'!$D$71</x:f>
        <x:v>705.911297</x:v>
      </x:c>
      <x:c r="I161" s="49" t="n">
        <x:f>I154+I159*'Assumptions'!$D$71</x:f>
        <x:v>937.37571772</x:v>
      </x:c>
      <x:c r="J161" s="49" t="n">
        <x:f>J154+J159*'Assumptions'!$D$71</x:f>
        <x:v>1123.3088679488</x:v>
      </x:c>
      <x:c r="K161" s="1"/>
      <x:c r="L161" s="1"/>
      <x:c r="M161" s="1"/>
    </x:row>
    <x:row r="162" ht="22" customHeight="1">
      <x:c r="A162" s="1"/>
      <x:c r="B162" s="1"/>
      <x:c r="C162" s="1" t="str">
        <x:v>Cumulative ever-acquired households</x:v>
      </x:c>
      <x:c r="D162" s="11" t="n">
        <x:f>D155+D159</x:f>
        <x:v>0</x:v>
      </x:c>
      <x:c r="E162" s="11" t="n">
        <x:f>E155+E159</x:f>
        <x:v>0</x:v>
      </x:c>
      <x:c r="F162" s="11" t="n">
        <x:f>F155+F159</x:f>
        <x:v>320</x:v>
      </x:c>
      <x:c r="G162" s="11" t="n">
        <x:f>G155+G159</x:f>
        <x:v>697.78455</x:v>
      </x:c>
      <x:c r="H162" s="11" t="n">
        <x:f>H155+H159</x:f>
        <x:v>1105.7918639999998</x:v>
      </x:c>
      <x:c r="I162" s="11" t="n">
        <x:f>I155+I159</x:f>
        <x:v>1524.6793730399997</x:v>
      </x:c>
      <x:c r="J162" s="11" t="n">
        <x:f>J155+J159</x:f>
        <x:v>1936.3859533535997</x:v>
      </x:c>
      <x:c r="K162" s="1"/>
      <x:c r="L162" s="1"/>
      <x:c r="M162" s="1"/>
    </x:row>
    <x:row r="163" ht="22" customHeight="1">
      <x:c r="A163" s="1"/>
      <x:c r="B163" s="1"/>
      <x:c r="C163" s="1" t="str">
        <x:v>Ending payout-active providers</x:v>
      </x:c>
      <x:c r="D163" s="49" t="n">
        <x:f>MIN(D156,ROUNDUP(D160/'Assumptions'!$D$72,0))</x:f>
        <x:v>0</x:v>
      </x:c>
      <x:c r="E163" s="49" t="n">
        <x:f>MIN(E156,ROUNDUP(E160/'Assumptions'!$D$72,0))</x:f>
        <x:v>0</x:v>
      </x:c>
      <x:c r="F163" s="49" t="n">
        <x:f>MIN(F156,ROUNDUP(F160/'Assumptions'!$D$72,0))</x:f>
        <x:v>8</x:v>
      </x:c>
      <x:c r="G163" s="49" t="n">
        <x:f>MIN(G156,ROUNDUP(G160/'Assumptions'!$D$72,0))</x:f>
        <x:v>16</x:v>
      </x:c>
      <x:c r="H163" s="49" t="n">
        <x:f>MIN(H156,ROUNDUP(H160/'Assumptions'!$D$72,0))</x:f>
        <x:v>23</x:v>
      </x:c>
      <x:c r="I163" s="49" t="n">
        <x:f>MIN(I156,ROUNDUP(I160/'Assumptions'!$D$72,0))</x:f>
        <x:v>29</x:v>
      </x:c>
      <x:c r="J163" s="49" t="n">
        <x:f>MIN(J156,ROUNDUP(J160/'Assumptions'!$D$72,0))</x:f>
        <x:v>34</x:v>
      </x:c>
      <x:c r="K163" s="1"/>
      <x:c r="L163" s="1"/>
      <x:c r="M163" s="1"/>
    </x:row>
    <x:row r="164" ht="22" customHeight="1">
      <x:c r="A164" s="1"/>
      <x:c r="B164" s="1"/>
      <x:c r="C164" s="1" t="str">
        <x:v>Retained active providers</x:v>
      </x:c>
      <x:c r="D164" s="11" t="n">
        <x:f>0</x:f>
        <x:v>0</x:v>
      </x:c>
      <x:c r="E164" s="49" t="n">
        <x:f>D163*'Assumptions'!$D$73</x:f>
        <x:v>0</x:v>
      </x:c>
      <x:c r="F164" s="49" t="n">
        <x:f>E163*'Assumptions'!$D$73</x:f>
        <x:v>0</x:v>
      </x:c>
      <x:c r="G164" s="49" t="n">
        <x:f>F163*'Assumptions'!$D$73</x:f>
        <x:v>6.8</x:v>
      </x:c>
      <x:c r="H164" s="49" t="n">
        <x:f>G163*'Assumptions'!$D$73</x:f>
        <x:v>13.6</x:v>
      </x:c>
      <x:c r="I164" s="49" t="n">
        <x:f>H163*'Assumptions'!$D$73</x:f>
        <x:v>19.55</x:v>
      </x:c>
      <x:c r="J164" s="49" t="n">
        <x:f>I163*'Assumptions'!$D$73</x:f>
        <x:v>24.65</x:v>
      </x:c>
      <x:c r="K164" s="1"/>
      <x:c r="L164" s="1"/>
      <x:c r="M164" s="1"/>
    </x:row>
    <x:row r="165" ht="22" customHeight="1">
      <x:c r="A165" s="1"/>
      <x:c r="B165" s="1"/>
      <x:c r="C165" s="1" t="str">
        <x:v>New / replacement active providers</x:v>
      </x:c>
      <x:c r="D165" s="11" t="n">
        <x:f>MAX(0,D163-D164)</x:f>
        <x:v>0</x:v>
      </x:c>
      <x:c r="E165" s="11" t="n">
        <x:f>MAX(0,E163-E164)</x:f>
        <x:v>0</x:v>
      </x:c>
      <x:c r="F165" s="11" t="n">
        <x:f>MAX(0,F163-F164)</x:f>
        <x:v>8</x:v>
      </x:c>
      <x:c r="G165" s="11" t="n">
        <x:f>MAX(0,G163-G164)</x:f>
        <x:v>9.2</x:v>
      </x:c>
      <x:c r="H165" s="11" t="n">
        <x:f>MAX(0,H163-H164)</x:f>
        <x:v>9.4</x:v>
      </x:c>
      <x:c r="I165" s="11" t="n">
        <x:f>MAX(0,I163-I164)</x:f>
        <x:v>9.45</x:v>
      </x:c>
      <x:c r="J165" s="11" t="n">
        <x:f>MAX(0,J163-J164)</x:f>
        <x:v>9.350000000000001</x:v>
      </x:c>
      <x:c r="K165" s="1"/>
      <x:c r="L165" s="1"/>
      <x:c r="M165" s="1"/>
    </x:row>
    <x:row r="166" ht="22" customHeight="1">
      <x:c r="A166" s="1"/>
      <x:c r="B166" s="1"/>
      <x:c r="C166" s="1" t="str">
        <x:v>Average payout-active providers</x:v>
      </x:c>
      <x:c r="D166" s="49" t="n">
        <x:f>D164+D165*'Assumptions'!$D$71</x:f>
        <x:v>0</x:v>
      </x:c>
      <x:c r="E166" s="49" t="n">
        <x:f>E164+E165*'Assumptions'!$D$71</x:f>
        <x:v>0</x:v>
      </x:c>
      <x:c r="F166" s="49" t="n">
        <x:f>F164+F165*'Assumptions'!$D$71</x:f>
        <x:v>4</x:v>
      </x:c>
      <x:c r="G166" s="49" t="n">
        <x:f>G164+G165*'Assumptions'!$D$71</x:f>
        <x:v>11.399999999999999</x:v>
      </x:c>
      <x:c r="H166" s="49" t="n">
        <x:f>H164+H165*'Assumptions'!$D$71</x:f>
        <x:v>18.3</x:v>
      </x:c>
      <x:c r="I166" s="49" t="n">
        <x:f>I164+I165*'Assumptions'!$D$71</x:f>
        <x:v>24.275</x:v>
      </x:c>
      <x:c r="J166" s="49" t="n">
        <x:f>J164+J165*'Assumptions'!$D$71</x:f>
        <x:v>29.325</x:v>
      </x:c>
      <x:c r="K166" s="1"/>
      <x:c r="L166" s="1"/>
      <x:c r="M166" s="1"/>
    </x:row>
    <x:row r="167" ht="22" customHeight="1">
      <x:c r="A167" s="1"/>
      <x:c r="B167" s="1"/>
      <x:c r="C167" s="1" t="str">
        <x:v>Cash acquisition spend</x:v>
      </x:c>
      <x:c r="D167" s="50" t="n">
        <x:f>D159*'Town inputs'!$F$49*(1-'Town inputs'!$D$66)^0*IF('Assumptions'!$D$3="Downside",'Town inputs'!$D$79,IF('Assumptions'!$D$3="Upside",'Town inputs'!$D$80,1))*(1+('Town inputs'!$D$103/'Town inputs'!$D$104-1)*0/6)</x:f>
        <x:v>0</x:v>
      </x:c>
      <x:c r="E167" s="50" t="n">
        <x:f>E159*'Town inputs'!$F$49*(1-'Town inputs'!$D$66)^1*IF('Assumptions'!$D$3="Downside",'Town inputs'!$D$79,IF('Assumptions'!$D$3="Upside",'Town inputs'!$D$80,1))*(1+('Town inputs'!$D$103/'Town inputs'!$D$104-1)*1/6)</x:f>
        <x:v>0</x:v>
      </x:c>
      <x:c r="F167" s="50" t="n">
        <x:f>F159*'Town inputs'!$F$49*(1-'Town inputs'!$D$66)^2*IF('Assumptions'!$D$3="Downside",'Town inputs'!$D$79,IF('Assumptions'!$D$3="Upside",'Town inputs'!$D$80,1))*(1+('Town inputs'!$D$103/'Town inputs'!$D$104-1)*2/6)</x:f>
        <x:v>15255.073450903064</x:v>
      </x:c>
      <x:c r="G167" s="50" t="n">
        <x:f>G159*'Town inputs'!$F$49*(1-'Town inputs'!$D$66)^3*IF('Assumptions'!$D$3="Downside",'Town inputs'!$D$79,IF('Assumptions'!$D$3="Upside",'Town inputs'!$D$80,1))*(1+('Town inputs'!$D$103/'Town inputs'!$D$104-1)*3/6)</x:f>
        <x:v>16756.609711217385</x:v>
      </x:c>
      <x:c r="H167" s="50" t="n">
        <x:f>H159*'Town inputs'!$F$49*(1-'Town inputs'!$D$66)^4*IF('Assumptions'!$D$3="Downside",'Town inputs'!$D$79,IF('Assumptions'!$D$3="Upside",'Town inputs'!$D$80,1))*(1+('Town inputs'!$D$103/'Town inputs'!$D$104-1)*4/6)</x:f>
        <x:v>16830.426117802323</x:v>
      </x:c>
      <x:c r="I167" s="50" t="n">
        <x:f>I159*'Town inputs'!$F$49*(1-'Town inputs'!$D$66)^5*IF('Assumptions'!$D$3="Downside",'Town inputs'!$D$79,IF('Assumptions'!$D$3="Upside",'Town inputs'!$D$80,1))*(1+('Town inputs'!$D$103/'Town inputs'!$D$104-1)*5/6)</x:f>
        <x:v>16062.345928655513</x:v>
      </x:c>
      <x:c r="J167" s="50" t="n">
        <x:f>J159*'Town inputs'!$F$49*(1-'Town inputs'!$D$66)^6*IF('Assumptions'!$D$3="Downside",'Town inputs'!$D$79,IF('Assumptions'!$D$3="Upside",'Town inputs'!$D$80,1))*(1+('Town inputs'!$D$103/'Town inputs'!$D$104-1)*6/6)</x:f>
        <x:v>14668.106373244165</x:v>
      </x:c>
      <x:c r="K167" s="1"/>
      <x:c r="L167" s="1"/>
      <x:c r="M167" s="1"/>
    </x:row>
    <x:row r="168" ht="22" customHeight="1">
      <x:c r="A168" s="1"/>
      <x:c r="B168" s="1"/>
      <x:c r="C168" s="1" t="str">
        <x:v>Launch spend</x:v>
      </x:c>
      <x:c r="D168" s="50" t="n">
        <x:f>IF(D151=1,'Town inputs'!$G$49*(1+'Town inputs'!$D$67)^0,0)</x:f>
        <x:v>0</x:v>
      </x:c>
      <x:c r="E168" s="50" t="n">
        <x:f>IF(E151=1,'Town inputs'!$G$49*(1+'Town inputs'!$D$67)^1,0)</x:f>
        <x:v>0</x:v>
      </x:c>
      <x:c r="F168" s="50" t="n">
        <x:f>IF(F151=1,'Town inputs'!$G$49*(1+'Town inputs'!$D$67)^2,0)</x:f>
        <x:v>21218</x:v>
      </x:c>
      <x:c r="G168" s="50" t="n">
        <x:f>IF(G151=1,'Town inputs'!$G$49*(1+'Town inputs'!$D$67)^3,0)</x:f>
        <x:v>0</x:v>
      </x:c>
      <x:c r="H168" s="50" t="n">
        <x:f>IF(H151=1,'Town inputs'!$G$49*(1+'Town inputs'!$D$67)^4,0)</x:f>
        <x:v>0</x:v>
      </x:c>
      <x:c r="I168" s="50" t="n">
        <x:f>IF(I151=1,'Town inputs'!$G$49*(1+'Town inputs'!$D$67)^5,0)</x:f>
        <x:v>0</x:v>
      </x:c>
      <x:c r="J168" s="50" t="n">
        <x:f>IF(J151=1,'Town inputs'!$G$49*(1+'Town inputs'!$D$67)^6,0)</x:f>
        <x:v>0</x:v>
      </x:c>
      <x:c r="K168" s="1"/>
      <x:c r="L168" s="1"/>
      <x:c r="M168" s="1"/>
    </x:row>
    <x:row r="169" ht="22" customHeight="1">
      <x:c r="A169" s="1"/>
      <x:c r="B169" s="1"/>
      <x:c r="C169" s="1" t="str">
        <x:v>Annual local coverage</x:v>
      </x:c>
      <x:c r="D169" s="50" t="n">
        <x:f>IF(D151&gt;0,'Town inputs'!$H$49*(1+'Town inputs'!$D$67)^0*IF(D151=1,'Assumptions'!$D$71,1),0)</x:f>
        <x:v>0</x:v>
      </x:c>
      <x:c r="E169" s="50" t="n">
        <x:f>IF(E151&gt;0,'Town inputs'!$H$49*(1+'Town inputs'!$D$67)^1*IF(E151=1,'Assumptions'!$D$71,1),0)</x:f>
        <x:v>0</x:v>
      </x:c>
      <x:c r="F169" s="50" t="n">
        <x:f>IF(F151&gt;0,'Town inputs'!$H$49*(1+'Town inputs'!$D$67)^2*IF(F151=1,'Assumptions'!$D$71,1),0)</x:f>
        <x:v>4243.599999999999</x:v>
      </x:c>
      <x:c r="G169" s="50" t="n">
        <x:f>IF(G151&gt;0,'Town inputs'!$H$49*(1+'Town inputs'!$D$67)^3*IF(G151=1,'Assumptions'!$D$71,1),0)</x:f>
        <x:v>8741.816</x:v>
      </x:c>
      <x:c r="H169" s="50" t="n">
        <x:f>IF(H151&gt;0,'Town inputs'!$H$49*(1+'Town inputs'!$D$67)^4*IF(H151=1,'Assumptions'!$D$71,1),0)</x:f>
        <x:v>9004.07048</x:v>
      </x:c>
      <x:c r="I169" s="50" t="n">
        <x:f>IF(I151&gt;0,'Town inputs'!$H$49*(1+'Town inputs'!$D$67)^5*IF(I151=1,'Assumptions'!$D$71,1),0)</x:f>
        <x:v>9274.192594400001</x:v>
      </x:c>
      <x:c r="J169" s="50" t="n">
        <x:f>IF(J151&gt;0,'Town inputs'!$H$49*(1+'Town inputs'!$D$67)^6*IF(J151=1,'Assumptions'!$D$71,1),0)</x:f>
        <x:v>9552.418372232001</x:v>
      </x:c>
      <x:c r="K169" s="1"/>
      <x:c r="L169" s="1"/>
      <x:c r="M169" s="1"/>
    </x:row>
    <x:row r="170" ht="22" customHeight="1">
      <x:c r="A170" s="1"/>
      <x:c r="B170" s="1"/>
      <x:c r="C170" s="1"/>
      <x:c r="D170" s="6"/>
      <x:c r="E170" s="6"/>
      <x:c r="F170" s="6"/>
      <x:c r="G170" s="6"/>
      <x:c r="H170" s="6"/>
      <x:c r="I170" s="6"/>
      <x:c r="J170" s="6"/>
      <x:c r="K170" s="1"/>
      <x:c r="L170" s="1"/>
      <x:c r="M170" s="1"/>
    </x:row>
    <x:row r="171" ht="22" customHeight="1">
      <x:c r="A171" s="1"/>
      <x:c r="B171" s="1"/>
      <x:c r="C171" s="1"/>
      <x:c r="D171" s="6"/>
      <x:c r="E171" s="6"/>
      <x:c r="F171" s="6"/>
      <x:c r="G171" s="6"/>
      <x:c r="H171" s="6"/>
      <x:c r="I171" s="6"/>
      <x:c r="J171" s="6"/>
      <x:c r="K171" s="1"/>
      <x:c r="L171" s="1"/>
      <x:c r="M171" s="1"/>
    </x:row>
    <x:row r="172" ht="22" customHeight="1">
      <x:c r="A172" s="1"/>
      <x:c r="B172" s="1"/>
      <x:c r="C172" s="5" t="str">
        <x:v>Toms River | Ocean County</x:v>
      </x:c>
      <x:c r="D172" s="26"/>
      <x:c r="E172" s="26"/>
      <x:c r="F172" s="26"/>
      <x:c r="G172" s="26"/>
      <x:c r="H172" s="26"/>
      <x:c r="I172" s="26"/>
      <x:c r="J172" s="26"/>
      <x:c r="K172" s="1"/>
      <x:c r="L172" s="1"/>
      <x:c r="M172" s="1"/>
    </x:row>
    <x:row r="173" ht="22" customHeight="1">
      <x:c r="A173" s="1"/>
      <x:c r="B173" s="1"/>
      <x:c r="C173" s="1" t="str">
        <x:v>Years since launch</x:v>
      </x:c>
      <x:c r="D173" s="49" t="n">
        <x:f>MAX(0,2027-'Town inputs'!$D$31+1)</x:f>
        <x:v>0</x:v>
      </x:c>
      <x:c r="E173" s="49" t="n">
        <x:f>MAX(0,2028-'Town inputs'!$D$31+1)</x:f>
        <x:v>0</x:v>
      </x:c>
      <x:c r="F173" s="49" t="n">
        <x:f>MAX(0,2029-'Town inputs'!$D$31+1)</x:f>
        <x:v>1</x:v>
      </x:c>
      <x:c r="G173" s="49" t="n">
        <x:f>MAX(0,2030-'Town inputs'!$D$31+1)</x:f>
        <x:v>2</x:v>
      </x:c>
      <x:c r="H173" s="49" t="n">
        <x:f>MAX(0,2031-'Town inputs'!$D$31+1)</x:f>
        <x:v>3</x:v>
      </x:c>
      <x:c r="I173" s="49" t="n">
        <x:f>MAX(0,2032-'Town inputs'!$D$31+1)</x:f>
        <x:v>4</x:v>
      </x:c>
      <x:c r="J173" s="49" t="n">
        <x:f>MAX(0,2033-'Town inputs'!$D$31+1)</x:f>
        <x:v>5</x:v>
      </x:c>
      <x:c r="K173" s="1"/>
      <x:c r="L173" s="1"/>
      <x:c r="M173" s="1"/>
    </x:row>
    <x:row r="174" ht="22" customHeight="1">
      <x:c r="A174" s="1"/>
      <x:c r="B174" s="1"/>
      <x:c r="C174" s="1" t="str">
        <x:v>Assumed outsourcing pool</x:v>
      </x:c>
      <x:c r="D174" s="49" t="n">
        <x:f>IF(D173&gt;0,'Town inputs'!$D$12*'Town inputs'!$E$12*'Town inputs'!$E$31*MIN(1,'Town inputs'!$F$31*IF('Assumptions'!$D$3="Downside",'Town inputs'!$D$73,IF('Assumptions'!$D$3="Upside",'Town inputs'!$D$74,1))),0)</x:f>
        <x:v>0</x:v>
      </x:c>
      <x:c r="E174" s="49" t="n">
        <x:f>IF(E173&gt;0,'Town inputs'!$D$12*'Town inputs'!$E$12*'Town inputs'!$E$31*MIN(1,'Town inputs'!$F$31*IF('Assumptions'!$D$3="Downside",'Town inputs'!$D$73,IF('Assumptions'!$D$3="Upside",'Town inputs'!$D$74,1))),0)</x:f>
        <x:v>0</x:v>
      </x:c>
      <x:c r="F174" s="49" t="n">
        <x:f>IF(F173&gt;0,'Town inputs'!$D$12*'Town inputs'!$E$12*'Town inputs'!$E$31*MIN(1,'Town inputs'!$F$31*IF('Assumptions'!$D$3="Downside",'Town inputs'!$D$73,IF('Assumptions'!$D$3="Upside",'Town inputs'!$D$74,1))),0)</x:f>
        <x:v>10542.3481125</x:v>
      </x:c>
      <x:c r="G174" s="49" t="n">
        <x:f>IF(G173&gt;0,'Town inputs'!$D$12*'Town inputs'!$E$12*'Town inputs'!$E$31*MIN(1,'Town inputs'!$F$31*IF('Assumptions'!$D$3="Downside",'Town inputs'!$D$73,IF('Assumptions'!$D$3="Upside",'Town inputs'!$D$74,1))),0)</x:f>
        <x:v>10542.3481125</x:v>
      </x:c>
      <x:c r="H174" s="49" t="n">
        <x:f>IF(H173&gt;0,'Town inputs'!$D$12*'Town inputs'!$E$12*'Town inputs'!$E$31*MIN(1,'Town inputs'!$F$31*IF('Assumptions'!$D$3="Downside",'Town inputs'!$D$73,IF('Assumptions'!$D$3="Upside",'Town inputs'!$D$74,1))),0)</x:f>
        <x:v>10542.3481125</x:v>
      </x:c>
      <x:c r="I174" s="49" t="n">
        <x:f>IF(I173&gt;0,'Town inputs'!$D$12*'Town inputs'!$E$12*'Town inputs'!$E$31*MIN(1,'Town inputs'!$F$31*IF('Assumptions'!$D$3="Downside",'Town inputs'!$D$73,IF('Assumptions'!$D$3="Upside",'Town inputs'!$D$74,1))),0)</x:f>
        <x:v>10542.3481125</x:v>
      </x:c>
      <x:c r="J174" s="49" t="n">
        <x:f>IF(J173&gt;0,'Town inputs'!$D$12*'Town inputs'!$E$12*'Town inputs'!$E$31*MIN(1,'Town inputs'!$F$31*IF('Assumptions'!$D$3="Downside",'Town inputs'!$D$73,IF('Assumptions'!$D$3="Upside",'Town inputs'!$D$74,1))),0)</x:f>
        <x:v>10542.3481125</x:v>
      </x:c>
      <x:c r="K174" s="1"/>
      <x:c r="L174" s="1"/>
      <x:c r="M174" s="1"/>
    </x:row>
    <x:row r="175" ht="22" customHeight="1">
      <x:c r="A175" s="1"/>
      <x:c r="B175" s="1"/>
      <x:c r="C175" s="1" t="str">
        <x:v>Opening active households</x:v>
      </x:c>
      <x:c r="D175" s="11" t="n">
        <x:f>0</x:f>
        <x:v>0</x:v>
      </x:c>
      <x:c r="E175" s="11" t="n">
        <x:f>D182</x:f>
        <x:v>0</x:v>
      </x:c>
      <x:c r="F175" s="11" t="n">
        <x:f>E182</x:f>
        <x:v>0</x:v>
      </x:c>
      <x:c r="G175" s="11" t="n">
        <x:f>F182</x:f>
        <x:v>600</x:v>
      </x:c>
      <x:c r="H175" s="11" t="n">
        <x:f>G182</x:f>
        <x:v>1200</x:v>
      </x:c>
      <x:c r="I175" s="11" t="n">
        <x:f>H182</x:f>
        <x:v>1800</x:v>
      </x:c>
      <x:c r="J175" s="11" t="n">
        <x:f>I182</x:f>
        <x:v>2400</x:v>
      </x:c>
      <x:c r="K175" s="1"/>
      <x:c r="L175" s="1"/>
      <x:c r="M175" s="1"/>
    </x:row>
    <x:row r="176" ht="22" customHeight="1">
      <x:c r="A176" s="1"/>
      <x:c r="B176" s="1"/>
      <x:c r="C176" s="1" t="str">
        <x:v>Retained households</x:v>
      </x:c>
      <x:c r="D176" s="49" t="n">
        <x:f>D175*'Assumptions'!D12</x:f>
        <x:v>0</x:v>
      </x:c>
      <x:c r="E176" s="49" t="n">
        <x:f>E175*'Assumptions'!E12</x:f>
        <x:v>0</x:v>
      </x:c>
      <x:c r="F176" s="49" t="n">
        <x:f>F175*'Assumptions'!F12</x:f>
        <x:v>0</x:v>
      </x:c>
      <x:c r="G176" s="49" t="n">
        <x:f>G175*'Assumptions'!G12</x:f>
        <x:v>468</x:v>
      </x:c>
      <x:c r="H176" s="49" t="n">
        <x:f>H175*'Assumptions'!H12</x:f>
        <x:v>960</x:v>
      </x:c>
      <x:c r="I176" s="49" t="n">
        <x:f>I175*'Assumptions'!I12</x:f>
        <x:v>1440</x:v>
      </x:c>
      <x:c r="J176" s="49" t="n">
        <x:f>J175*'Assumptions'!J12</x:f>
        <x:v>1920</x:v>
      </x:c>
      <x:c r="K176" s="1"/>
      <x:c r="L176" s="1"/>
      <x:c r="M176" s="1"/>
    </x:row>
    <x:row r="177" ht="22" customHeight="1">
      <x:c r="A177" s="1"/>
      <x:c r="B177" s="1"/>
      <x:c r="C177" s="1" t="str">
        <x:v>Previously acquired households</x:v>
      </x:c>
      <x:c r="D177" s="11" t="n">
        <x:f>0</x:f>
        <x:v>0</x:v>
      </x:c>
      <x:c r="E177" s="11" t="n">
        <x:f>D184</x:f>
        <x:v>0</x:v>
      </x:c>
      <x:c r="F177" s="11" t="n">
        <x:f>E184</x:f>
        <x:v>0</x:v>
      </x:c>
      <x:c r="G177" s="11" t="n">
        <x:f>F184</x:f>
        <x:v>600</x:v>
      </x:c>
      <x:c r="H177" s="11" t="n">
        <x:f>G184</x:f>
        <x:v>1332</x:v>
      </x:c>
      <x:c r="I177" s="11" t="n">
        <x:f>H184</x:f>
        <x:v>2172</x:v>
      </x:c>
      <x:c r="J177" s="11" t="n">
        <x:f>I184</x:f>
        <x:v>3132</x:v>
      </x:c>
      <x:c r="K177" s="1"/>
      <x:c r="L177" s="1"/>
      <x:c r="M177" s="1"/>
    </x:row>
    <x:row r="178" ht="22" customHeight="1">
      <x:c r="A178" s="1"/>
      <x:c r="B178" s="1"/>
      <x:c r="C178" s="1" t="str">
        <x:v>Qualified provider capacity plan</x:v>
      </x:c>
      <x:c r="D178" s="49" t="n">
        <x:f>IF(D173=0,0,MIN(ROUNDUP('Town inputs'!$E$50*IF('Assumptions'!$D$3="Downside",'Town inputs'!$D$77,IF('Assumptions'!$D$3="Upside",'Town inputs'!$D$78,1)),0),ROUNDUP(('Town inputs'!$J$31+(D173-1)*'Town inputs'!$D$50)*IF('Assumptions'!$D$3="Downside",'Town inputs'!$D$77,IF('Assumptions'!$D$3="Upside",'Town inputs'!$D$78,1)),0)))</x:f>
        <x:v>0</x:v>
      </x:c>
      <x:c r="E178" s="49" t="n">
        <x:f>IF(E173=0,0,MIN(ROUNDUP('Town inputs'!$E$50*IF('Assumptions'!$D$3="Downside",'Town inputs'!$D$77,IF('Assumptions'!$D$3="Upside",'Town inputs'!$D$78,1)),0),ROUNDUP(('Town inputs'!$J$31+(E173-1)*'Town inputs'!$D$50)*IF('Assumptions'!$D$3="Downside",'Town inputs'!$D$77,IF('Assumptions'!$D$3="Upside",'Town inputs'!$D$78,1)),0)))</x:f>
        <x:v>0</x:v>
      </x:c>
      <x:c r="F178" s="49" t="n">
        <x:f>IF(F173=0,0,MIN(ROUNDUP('Town inputs'!$E$50*IF('Assumptions'!$D$3="Downside",'Town inputs'!$D$77,IF('Assumptions'!$D$3="Upside",'Town inputs'!$D$78,1)),0),ROUNDUP(('Town inputs'!$J$31+(F173-1)*'Town inputs'!$D$50)*IF('Assumptions'!$D$3="Downside",'Town inputs'!$D$77,IF('Assumptions'!$D$3="Upside",'Town inputs'!$D$78,1)),0)))</x:f>
        <x:v>15</x:v>
      </x:c>
      <x:c r="G178" s="49" t="n">
        <x:f>IF(G173=0,0,MIN(ROUNDUP('Town inputs'!$E$50*IF('Assumptions'!$D$3="Downside",'Town inputs'!$D$77,IF('Assumptions'!$D$3="Upside",'Town inputs'!$D$78,1)),0),ROUNDUP(('Town inputs'!$J$31+(G173-1)*'Town inputs'!$D$50)*IF('Assumptions'!$D$3="Downside",'Town inputs'!$D$77,IF('Assumptions'!$D$3="Upside",'Town inputs'!$D$78,1)),0)))</x:f>
        <x:v>30</x:v>
      </x:c>
      <x:c r="H178" s="49" t="n">
        <x:f>IF(H173=0,0,MIN(ROUNDUP('Town inputs'!$E$50*IF('Assumptions'!$D$3="Downside",'Town inputs'!$D$77,IF('Assumptions'!$D$3="Upside",'Town inputs'!$D$78,1)),0),ROUNDUP(('Town inputs'!$J$31+(H173-1)*'Town inputs'!$D$50)*IF('Assumptions'!$D$3="Downside",'Town inputs'!$D$77,IF('Assumptions'!$D$3="Upside",'Town inputs'!$D$78,1)),0)))</x:f>
        <x:v>45</x:v>
      </x:c>
      <x:c r="I178" s="49" t="n">
        <x:f>IF(I173=0,0,MIN(ROUNDUP('Town inputs'!$E$50*IF('Assumptions'!$D$3="Downside",'Town inputs'!$D$77,IF('Assumptions'!$D$3="Upside",'Town inputs'!$D$78,1)),0),ROUNDUP(('Town inputs'!$J$31+(I173-1)*'Town inputs'!$D$50)*IF('Assumptions'!$D$3="Downside",'Town inputs'!$D$77,IF('Assumptions'!$D$3="Upside",'Town inputs'!$D$78,1)),0)))</x:f>
        <x:v>60</x:v>
      </x:c>
      <x:c r="J178" s="49" t="n">
        <x:f>IF(J173=0,0,MIN(ROUNDUP('Town inputs'!$E$50*IF('Assumptions'!$D$3="Downside",'Town inputs'!$D$77,IF('Assumptions'!$D$3="Upside",'Town inputs'!$D$78,1)),0),ROUNDUP(('Town inputs'!$J$31+(J173-1)*'Town inputs'!$D$50)*IF('Assumptions'!$D$3="Downside",'Town inputs'!$D$77,IF('Assumptions'!$D$3="Upside",'Town inputs'!$D$78,1)),0)))</x:f>
        <x:v>75</x:v>
      </x:c>
      <x:c r="K178" s="1"/>
      <x:c r="L178" s="1"/>
      <x:c r="M178" s="1"/>
    </x:row>
    <x:row r="179" ht="22" customHeight="1">
      <x:c r="A179" s="1"/>
      <x:c r="B179" s="1"/>
      <x:c r="C179" s="1" t="str">
        <x:v>Household capacity</x:v>
      </x:c>
      <x:c r="D179" s="49" t="n">
        <x:f>D178*'Assumptions'!$D$72</x:f>
        <x:v>0</x:v>
      </x:c>
      <x:c r="E179" s="49" t="n">
        <x:f>E178*'Assumptions'!$D$72</x:f>
        <x:v>0</x:v>
      </x:c>
      <x:c r="F179" s="49" t="n">
        <x:f>F178*'Assumptions'!$D$72</x:f>
        <x:v>600</x:v>
      </x:c>
      <x:c r="G179" s="49" t="n">
        <x:f>G178*'Assumptions'!$D$72</x:f>
        <x:v>1200</x:v>
      </x:c>
      <x:c r="H179" s="49" t="n">
        <x:f>H178*'Assumptions'!$D$72</x:f>
        <x:v>1800</x:v>
      </x:c>
      <x:c r="I179" s="49" t="n">
        <x:f>I178*'Assumptions'!$D$72</x:f>
        <x:v>2400</x:v>
      </x:c>
      <x:c r="J179" s="49" t="n">
        <x:f>J178*'Assumptions'!$D$72</x:f>
        <x:v>3000</x:v>
      </x:c>
      <x:c r="K179" s="1"/>
      <x:c r="L179" s="1"/>
      <x:c r="M179" s="1"/>
    </x:row>
    <x:row r="180" ht="22" customHeight="1">
      <x:c r="A180" s="1"/>
      <x:c r="B180" s="1"/>
      <x:c r="C180" s="1" t="str">
        <x:v>Unconstrained new demand</x:v>
      </x:c>
      <x:c r="D180" s="49" t="n">
        <x:f>MAX(0,D174-D177)*MIN(1,MIN('Town inputs'!$D$65,'Town inputs'!$D$63+MAX(0,D173-1)*'Town inputs'!$D$64)*IF('Assumptions'!$D$3="Downside",'Town inputs'!$D$75,IF('Assumptions'!$D$3="Upside",'Town inputs'!$D$76,1)))</x:f>
        <x:v>0</x:v>
      </x:c>
      <x:c r="E180" s="49" t="n">
        <x:f>MAX(0,E174-E177)*MIN(1,MIN('Town inputs'!$D$65,'Town inputs'!$D$63+MAX(0,E173-1)*'Town inputs'!$D$64)*IF('Assumptions'!$D$3="Downside",'Town inputs'!$D$75,IF('Assumptions'!$D$3="Upside",'Town inputs'!$D$76,1)))</x:f>
        <x:v>0</x:v>
      </x:c>
      <x:c r="F180" s="49" t="n">
        <x:f>MAX(0,F174-F177)*MIN(1,MIN('Town inputs'!$D$65,'Town inputs'!$D$63+MAX(0,F173-1)*'Town inputs'!$D$64)*IF('Assumptions'!$D$3="Downside",'Town inputs'!$D$75,IF('Assumptions'!$D$3="Upside",'Town inputs'!$D$76,1)))</x:f>
        <x:v>843.387849</x:v>
      </x:c>
      <x:c r="G180" s="49" t="n">
        <x:f>MAX(0,G174-G177)*MIN(1,MIN('Town inputs'!$D$65,'Town inputs'!$D$63+MAX(0,G173-1)*'Town inputs'!$D$64)*IF('Assumptions'!$D$3="Downside",'Town inputs'!$D$75,IF('Assumptions'!$D$3="Upside",'Town inputs'!$D$76,1)))</x:f>
        <x:v>994.23481125</x:v>
      </x:c>
      <x:c r="H180" s="49" t="n">
        <x:f>MAX(0,H174-H177)*MIN(1,MIN('Town inputs'!$D$65,'Town inputs'!$D$63+MAX(0,H173-1)*'Town inputs'!$D$64)*IF('Assumptions'!$D$3="Downside",'Town inputs'!$D$75,IF('Assumptions'!$D$3="Upside",'Town inputs'!$D$76,1)))</x:f>
        <x:v>1105.2417735</x:v>
      </x:c>
      <x:c r="I180" s="49" t="n">
        <x:f>MAX(0,I174-I177)*MIN(1,MIN('Town inputs'!$D$65,'Town inputs'!$D$63+MAX(0,I173-1)*'Town inputs'!$D$64)*IF('Assumptions'!$D$3="Downside",'Town inputs'!$D$75,IF('Assumptions'!$D$3="Upside",'Town inputs'!$D$76,1)))</x:f>
        <x:v>1171.84873575</x:v>
      </x:c>
      <x:c r="J180" s="49" t="n">
        <x:f>MAX(0,J174-J177)*MIN(1,MIN('Town inputs'!$D$65,'Town inputs'!$D$63+MAX(0,J173-1)*'Town inputs'!$D$64)*IF('Assumptions'!$D$3="Downside",'Town inputs'!$D$75,IF('Assumptions'!$D$3="Upside",'Town inputs'!$D$76,1)))</x:f>
        <x:v>1185.655698</x:v>
      </x:c>
      <x:c r="K180" s="1"/>
      <x:c r="L180" s="1"/>
      <x:c r="M180" s="1"/>
    </x:row>
    <x:row r="181" ht="22" customHeight="1">
      <x:c r="A181" s="1"/>
      <x:c r="B181" s="1"/>
      <x:c r="C181" s="1" t="str">
        <x:v>New first-time households</x:v>
      </x:c>
      <x:c r="D181" s="11" t="n">
        <x:f>MIN(D180,MAX(0,D179-D176))</x:f>
        <x:v>0</x:v>
      </x:c>
      <x:c r="E181" s="11" t="n">
        <x:f>MIN(E180,MAX(0,E179-E176))</x:f>
        <x:v>0</x:v>
      </x:c>
      <x:c r="F181" s="11" t="n">
        <x:f>MIN(F180,MAX(0,F179-F176))</x:f>
        <x:v>600</x:v>
      </x:c>
      <x:c r="G181" s="11" t="n">
        <x:f>MIN(G180,MAX(0,G179-G176))</x:f>
        <x:v>732</x:v>
      </x:c>
      <x:c r="H181" s="11" t="n">
        <x:f>MIN(H180,MAX(0,H179-H176))</x:f>
        <x:v>840</x:v>
      </x:c>
      <x:c r="I181" s="11" t="n">
        <x:f>MIN(I180,MAX(0,I179-I176))</x:f>
        <x:v>960</x:v>
      </x:c>
      <x:c r="J181" s="11" t="n">
        <x:f>MIN(J180,MAX(0,J179-J176))</x:f>
        <x:v>1080</x:v>
      </x:c>
      <x:c r="K181" s="1"/>
      <x:c r="L181" s="1"/>
      <x:c r="M181" s="1"/>
    </x:row>
    <x:row r="182" ht="22" customHeight="1">
      <x:c r="A182" s="1"/>
      <x:c r="B182" s="1"/>
      <x:c r="C182" s="1" t="str">
        <x:v>Ending active households</x:v>
      </x:c>
      <x:c r="D182" s="11" t="n">
        <x:f>D176+D181</x:f>
        <x:v>0</x:v>
      </x:c>
      <x:c r="E182" s="11" t="n">
        <x:f>E176+E181</x:f>
        <x:v>0</x:v>
      </x:c>
      <x:c r="F182" s="11" t="n">
        <x:f>F176+F181</x:f>
        <x:v>600</x:v>
      </x:c>
      <x:c r="G182" s="11" t="n">
        <x:f>G176+G181</x:f>
        <x:v>1200</x:v>
      </x:c>
      <x:c r="H182" s="11" t="n">
        <x:f>H176+H181</x:f>
        <x:v>1800</x:v>
      </x:c>
      <x:c r="I182" s="11" t="n">
        <x:f>I176+I181</x:f>
        <x:v>2400</x:v>
      </x:c>
      <x:c r="J182" s="11" t="n">
        <x:f>J176+J181</x:f>
        <x:v>3000</x:v>
      </x:c>
      <x:c r="K182" s="1"/>
      <x:c r="L182" s="1"/>
      <x:c r="M182" s="1"/>
    </x:row>
    <x:row r="183" ht="22" customHeight="1">
      <x:c r="A183" s="1"/>
      <x:c r="B183" s="1"/>
      <x:c r="C183" s="1" t="str">
        <x:v>Full-season equivalent households</x:v>
      </x:c>
      <x:c r="D183" s="49" t="n">
        <x:f>D176+D181*'Assumptions'!$D$71</x:f>
        <x:v>0</x:v>
      </x:c>
      <x:c r="E183" s="49" t="n">
        <x:f>E176+E181*'Assumptions'!$D$71</x:f>
        <x:v>0</x:v>
      </x:c>
      <x:c r="F183" s="49" t="n">
        <x:f>F176+F181*'Assumptions'!$D$71</x:f>
        <x:v>300</x:v>
      </x:c>
      <x:c r="G183" s="49" t="n">
        <x:f>G176+G181*'Assumptions'!$D$71</x:f>
        <x:v>834</x:v>
      </x:c>
      <x:c r="H183" s="49" t="n">
        <x:f>H176+H181*'Assumptions'!$D$71</x:f>
        <x:v>1380</x:v>
      </x:c>
      <x:c r="I183" s="49" t="n">
        <x:f>I176+I181*'Assumptions'!$D$71</x:f>
        <x:v>1920</x:v>
      </x:c>
      <x:c r="J183" s="49" t="n">
        <x:f>J176+J181*'Assumptions'!$D$71</x:f>
        <x:v>2460</x:v>
      </x:c>
      <x:c r="K183" s="1"/>
      <x:c r="L183" s="1"/>
      <x:c r="M183" s="1"/>
    </x:row>
    <x:row r="184" ht="22" customHeight="1">
      <x:c r="A184" s="1"/>
      <x:c r="B184" s="1"/>
      <x:c r="C184" s="1" t="str">
        <x:v>Cumulative ever-acquired households</x:v>
      </x:c>
      <x:c r="D184" s="11" t="n">
        <x:f>D177+D181</x:f>
        <x:v>0</x:v>
      </x:c>
      <x:c r="E184" s="11" t="n">
        <x:f>E177+E181</x:f>
        <x:v>0</x:v>
      </x:c>
      <x:c r="F184" s="11" t="n">
        <x:f>F177+F181</x:f>
        <x:v>600</x:v>
      </x:c>
      <x:c r="G184" s="11" t="n">
        <x:f>G177+G181</x:f>
        <x:v>1332</x:v>
      </x:c>
      <x:c r="H184" s="11" t="n">
        <x:f>H177+H181</x:f>
        <x:v>2172</x:v>
      </x:c>
      <x:c r="I184" s="11" t="n">
        <x:f>I177+I181</x:f>
        <x:v>3132</x:v>
      </x:c>
      <x:c r="J184" s="11" t="n">
        <x:f>J177+J181</x:f>
        <x:v>4212</x:v>
      </x:c>
      <x:c r="K184" s="1"/>
      <x:c r="L184" s="1"/>
      <x:c r="M184" s="1"/>
    </x:row>
    <x:row r="185" ht="22" customHeight="1">
      <x:c r="A185" s="1"/>
      <x:c r="B185" s="1"/>
      <x:c r="C185" s="1" t="str">
        <x:v>Ending payout-active providers</x:v>
      </x:c>
      <x:c r="D185" s="49" t="n">
        <x:f>MIN(D178,ROUNDUP(D182/'Assumptions'!$D$72,0))</x:f>
        <x:v>0</x:v>
      </x:c>
      <x:c r="E185" s="49" t="n">
        <x:f>MIN(E178,ROUNDUP(E182/'Assumptions'!$D$72,0))</x:f>
        <x:v>0</x:v>
      </x:c>
      <x:c r="F185" s="49" t="n">
        <x:f>MIN(F178,ROUNDUP(F182/'Assumptions'!$D$72,0))</x:f>
        <x:v>15</x:v>
      </x:c>
      <x:c r="G185" s="49" t="n">
        <x:f>MIN(G178,ROUNDUP(G182/'Assumptions'!$D$72,0))</x:f>
        <x:v>30</x:v>
      </x:c>
      <x:c r="H185" s="49" t="n">
        <x:f>MIN(H178,ROUNDUP(H182/'Assumptions'!$D$72,0))</x:f>
        <x:v>45</x:v>
      </x:c>
      <x:c r="I185" s="49" t="n">
        <x:f>MIN(I178,ROUNDUP(I182/'Assumptions'!$D$72,0))</x:f>
        <x:v>60</x:v>
      </x:c>
      <x:c r="J185" s="49" t="n">
        <x:f>MIN(J178,ROUNDUP(J182/'Assumptions'!$D$72,0))</x:f>
        <x:v>75</x:v>
      </x:c>
      <x:c r="K185" s="1"/>
      <x:c r="L185" s="1"/>
      <x:c r="M185" s="1"/>
    </x:row>
    <x:row r="186" ht="22" customHeight="1">
      <x:c r="A186" s="1"/>
      <x:c r="B186" s="1"/>
      <x:c r="C186" s="1" t="str">
        <x:v>Retained active providers</x:v>
      </x:c>
      <x:c r="D186" s="11" t="n">
        <x:f>0</x:f>
        <x:v>0</x:v>
      </x:c>
      <x:c r="E186" s="49" t="n">
        <x:f>D185*'Assumptions'!$D$73</x:f>
        <x:v>0</x:v>
      </x:c>
      <x:c r="F186" s="49" t="n">
        <x:f>E185*'Assumptions'!$D$73</x:f>
        <x:v>0</x:v>
      </x:c>
      <x:c r="G186" s="49" t="n">
        <x:f>F185*'Assumptions'!$D$73</x:f>
        <x:v>12.75</x:v>
      </x:c>
      <x:c r="H186" s="49" t="n">
        <x:f>G185*'Assumptions'!$D$73</x:f>
        <x:v>25.5</x:v>
      </x:c>
      <x:c r="I186" s="49" t="n">
        <x:f>H185*'Assumptions'!$D$73</x:f>
        <x:v>38.25</x:v>
      </x:c>
      <x:c r="J186" s="49" t="n">
        <x:f>I185*'Assumptions'!$D$73</x:f>
        <x:v>51</x:v>
      </x:c>
      <x:c r="K186" s="1"/>
      <x:c r="L186" s="1"/>
      <x:c r="M186" s="1"/>
    </x:row>
    <x:row r="187" ht="22" customHeight="1">
      <x:c r="A187" s="1"/>
      <x:c r="B187" s="1"/>
      <x:c r="C187" s="1" t="str">
        <x:v>New / replacement active providers</x:v>
      </x:c>
      <x:c r="D187" s="11" t="n">
        <x:f>MAX(0,D185-D186)</x:f>
        <x:v>0</x:v>
      </x:c>
      <x:c r="E187" s="11" t="n">
        <x:f>MAX(0,E185-E186)</x:f>
        <x:v>0</x:v>
      </x:c>
      <x:c r="F187" s="11" t="n">
        <x:f>MAX(0,F185-F186)</x:f>
        <x:v>15</x:v>
      </x:c>
      <x:c r="G187" s="11" t="n">
        <x:f>MAX(0,G185-G186)</x:f>
        <x:v>17.25</x:v>
      </x:c>
      <x:c r="H187" s="11" t="n">
        <x:f>MAX(0,H185-H186)</x:f>
        <x:v>19.5</x:v>
      </x:c>
      <x:c r="I187" s="11" t="n">
        <x:f>MAX(0,I185-I186)</x:f>
        <x:v>21.75</x:v>
      </x:c>
      <x:c r="J187" s="11" t="n">
        <x:f>MAX(0,J185-J186)</x:f>
        <x:v>24</x:v>
      </x:c>
      <x:c r="K187" s="1"/>
      <x:c r="L187" s="1"/>
      <x:c r="M187" s="1"/>
    </x:row>
    <x:row r="188" ht="22" customHeight="1">
      <x:c r="A188" s="1"/>
      <x:c r="B188" s="1"/>
      <x:c r="C188" s="1" t="str">
        <x:v>Average payout-active providers</x:v>
      </x:c>
      <x:c r="D188" s="49" t="n">
        <x:f>D186+D187*'Assumptions'!$D$71</x:f>
        <x:v>0</x:v>
      </x:c>
      <x:c r="E188" s="49" t="n">
        <x:f>E186+E187*'Assumptions'!$D$71</x:f>
        <x:v>0</x:v>
      </x:c>
      <x:c r="F188" s="49" t="n">
        <x:f>F186+F187*'Assumptions'!$D$71</x:f>
        <x:v>7.5</x:v>
      </x:c>
      <x:c r="G188" s="49" t="n">
        <x:f>G186+G187*'Assumptions'!$D$71</x:f>
        <x:v>21.375</x:v>
      </x:c>
      <x:c r="H188" s="49" t="n">
        <x:f>H186+H187*'Assumptions'!$D$71</x:f>
        <x:v>35.25</x:v>
      </x:c>
      <x:c r="I188" s="49" t="n">
        <x:f>I186+I187*'Assumptions'!$D$71</x:f>
        <x:v>49.125</x:v>
      </x:c>
      <x:c r="J188" s="49" t="n">
        <x:f>J186+J187*'Assumptions'!$D$71</x:f>
        <x:v>63</x:v>
      </x:c>
      <x:c r="K188" s="1"/>
      <x:c r="L188" s="1"/>
      <x:c r="M188" s="1"/>
    </x:row>
    <x:row r="189" ht="22" customHeight="1">
      <x:c r="A189" s="1"/>
      <x:c r="B189" s="1"/>
      <x:c r="C189" s="1" t="str">
        <x:v>Cash acquisition spend</x:v>
      </x:c>
      <x:c r="D189" s="50" t="n">
        <x:f>D181*'Town inputs'!$F$50*(1-'Town inputs'!$D$66)^0*IF('Assumptions'!$D$3="Downside",'Town inputs'!$D$79,IF('Assumptions'!$D$3="Upside",'Town inputs'!$D$80,1))*(1+('Town inputs'!$D$103/'Town inputs'!$D$104-1)*0/6)</x:f>
        <x:v>0</x:v>
      </x:c>
      <x:c r="E189" s="50" t="n">
        <x:f>E181*'Town inputs'!$F$50*(1-'Town inputs'!$D$66)^1*IF('Assumptions'!$D$3="Downside",'Town inputs'!$D$79,IF('Assumptions'!$D$3="Upside",'Town inputs'!$D$80,1))*(1+('Town inputs'!$D$103/'Town inputs'!$D$104-1)*1/6)</x:f>
        <x:v>0</x:v>
      </x:c>
      <x:c r="F189" s="50" t="n">
        <x:f>F181*'Town inputs'!$F$50*(1-'Town inputs'!$D$66)^2*IF('Assumptions'!$D$3="Downside",'Town inputs'!$D$79,IF('Assumptions'!$D$3="Upside",'Town inputs'!$D$80,1))*(1+('Town inputs'!$D$103/'Town inputs'!$D$104-1)*2/6)</x:f>
        <x:v>28603.262720443247</x:v>
      </x:c>
      <x:c r="G189" s="50" t="n">
        <x:f>G181*'Town inputs'!$F$50*(1-'Town inputs'!$D$66)^3*IF('Assumptions'!$D$3="Downside",'Town inputs'!$D$79,IF('Assumptions'!$D$3="Upside",'Town inputs'!$D$80,1))*(1+('Town inputs'!$D$103/'Town inputs'!$D$104-1)*3/6)</x:f>
        <x:v>32467.813489490578</x:v>
      </x:c>
      <x:c r="H189" s="50" t="n">
        <x:f>H181*'Town inputs'!$F$50*(1-'Town inputs'!$D$66)^4*IF('Assumptions'!$D$3="Downside",'Town inputs'!$D$79,IF('Assumptions'!$D$3="Upside",'Town inputs'!$D$80,1))*(1+('Town inputs'!$D$103/'Town inputs'!$D$104-1)*4/6)</x:f>
        <x:v>34650.25614456007</x:v>
      </x:c>
      <x:c r="I189" s="50" t="n">
        <x:f>I181*'Town inputs'!$F$50*(1-'Town inputs'!$D$66)^5*IF('Assumptions'!$D$3="Downside",'Town inputs'!$D$79,IF('Assumptions'!$D$3="Upside",'Town inputs'!$D$80,1))*(1+('Town inputs'!$D$103/'Town inputs'!$D$104-1)*5/6)</x:f>
        <x:v>36811.4392497601</x:v>
      </x:c>
      <x:c r="J189" s="50" t="n">
        <x:f>J181*'Town inputs'!$F$50*(1-'Town inputs'!$D$66)^6*IF('Assumptions'!$D$3="Downside",'Town inputs'!$D$79,IF('Assumptions'!$D$3="Upside",'Town inputs'!$D$80,1))*(1+('Town inputs'!$D$103/'Town inputs'!$D$104-1)*6/6)</x:f>
        <x:v>38477.77917719233</x:v>
      </x:c>
      <x:c r="K189" s="1"/>
      <x:c r="L189" s="1"/>
      <x:c r="M189" s="1"/>
    </x:row>
    <x:row r="190" ht="22" customHeight="1">
      <x:c r="A190" s="1"/>
      <x:c r="B190" s="1"/>
      <x:c r="C190" s="1" t="str">
        <x:v>Launch spend</x:v>
      </x:c>
      <x:c r="D190" s="50" t="n">
        <x:f>IF(D173=1,'Town inputs'!$G$50*(1+'Town inputs'!$D$67)^0,0)</x:f>
        <x:v>0</x:v>
      </x:c>
      <x:c r="E190" s="50" t="n">
        <x:f>IF(E173=1,'Town inputs'!$G$50*(1+'Town inputs'!$D$67)^1,0)</x:f>
        <x:v>0</x:v>
      </x:c>
      <x:c r="F190" s="50" t="n">
        <x:f>IF(F173=1,'Town inputs'!$G$50*(1+'Town inputs'!$D$67)^2,0)</x:f>
        <x:v>26522.5</x:v>
      </x:c>
      <x:c r="G190" s="50" t="n">
        <x:f>IF(G173=1,'Town inputs'!$G$50*(1+'Town inputs'!$D$67)^3,0)</x:f>
        <x:v>0</x:v>
      </x:c>
      <x:c r="H190" s="50" t="n">
        <x:f>IF(H173=1,'Town inputs'!$G$50*(1+'Town inputs'!$D$67)^4,0)</x:f>
        <x:v>0</x:v>
      </x:c>
      <x:c r="I190" s="50" t="n">
        <x:f>IF(I173=1,'Town inputs'!$G$50*(1+'Town inputs'!$D$67)^5,0)</x:f>
        <x:v>0</x:v>
      </x:c>
      <x:c r="J190" s="50" t="n">
        <x:f>IF(J173=1,'Town inputs'!$G$50*(1+'Town inputs'!$D$67)^6,0)</x:f>
        <x:v>0</x:v>
      </x:c>
      <x:c r="K190" s="1"/>
      <x:c r="L190" s="1"/>
      <x:c r="M190" s="1"/>
    </x:row>
    <x:row r="191" ht="22" customHeight="1">
      <x:c r="A191" s="1"/>
      <x:c r="B191" s="1"/>
      <x:c r="C191" s="1" t="str">
        <x:v>Annual local coverage</x:v>
      </x:c>
      <x:c r="D191" s="50" t="n">
        <x:f>IF(D173&gt;0,'Town inputs'!$H$50*(1+'Town inputs'!$D$67)^0*IF(D173=1,'Assumptions'!$D$71,1),0)</x:f>
        <x:v>0</x:v>
      </x:c>
      <x:c r="E191" s="50" t="n">
        <x:f>IF(E173&gt;0,'Town inputs'!$H$50*(1+'Town inputs'!$D$67)^1*IF(E173=1,'Assumptions'!$D$71,1),0)</x:f>
        <x:v>0</x:v>
      </x:c>
      <x:c r="F191" s="50" t="n">
        <x:f>IF(F173&gt;0,'Town inputs'!$H$50*(1+'Town inputs'!$D$67)^2*IF(F173=1,'Assumptions'!$D$71,1),0)</x:f>
        <x:v>5304.5</x:v>
      </x:c>
      <x:c r="G191" s="50" t="n">
        <x:f>IF(G173&gt;0,'Town inputs'!$H$50*(1+'Town inputs'!$D$67)^3*IF(G173=1,'Assumptions'!$D$71,1),0)</x:f>
        <x:v>10927.27</x:v>
      </x:c>
      <x:c r="H191" s="50" t="n">
        <x:f>IF(H173&gt;0,'Town inputs'!$H$50*(1+'Town inputs'!$D$67)^4*IF(H173=1,'Assumptions'!$D$71,1),0)</x:f>
        <x:v>11255.0881</x:v>
      </x:c>
      <x:c r="I191" s="50" t="n">
        <x:f>IF(I173&gt;0,'Town inputs'!$H$50*(1+'Town inputs'!$D$67)^5*IF(I173=1,'Assumptions'!$D$71,1),0)</x:f>
        <x:v>11592.740743</x:v>
      </x:c>
      <x:c r="J191" s="50" t="n">
        <x:f>IF(J173&gt;0,'Town inputs'!$H$50*(1+'Town inputs'!$D$67)^6*IF(J173=1,'Assumptions'!$D$71,1),0)</x:f>
        <x:v>11940.522965290002</x:v>
      </x:c>
      <x:c r="K191" s="1"/>
      <x:c r="L191" s="1"/>
      <x:c r="M191" s="1"/>
    </x:row>
    <x:row r="192" ht="22" customHeight="1">
      <x:c r="A192" s="1"/>
      <x:c r="B192" s="1"/>
      <x:c r="C192" s="1"/>
      <x:c r="D192" s="6"/>
      <x:c r="E192" s="6"/>
      <x:c r="F192" s="6"/>
      <x:c r="G192" s="6"/>
      <x:c r="H192" s="6"/>
      <x:c r="I192" s="6"/>
      <x:c r="J192" s="6"/>
      <x:c r="K192" s="1"/>
      <x:c r="L192" s="1"/>
      <x:c r="M192" s="1"/>
    </x:row>
    <x:row r="193" ht="22" customHeight="1">
      <x:c r="A193" s="1"/>
      <x:c r="B193" s="1"/>
      <x:c r="C193" s="1"/>
      <x:c r="D193" s="6"/>
      <x:c r="E193" s="6"/>
      <x:c r="F193" s="6"/>
      <x:c r="G193" s="6"/>
      <x:c r="H193" s="6"/>
      <x:c r="I193" s="6"/>
      <x:c r="J193" s="6"/>
      <x:c r="K193" s="1"/>
      <x:c r="L193" s="1"/>
      <x:c r="M193" s="1"/>
    </x:row>
    <x:row r="194" ht="22" customHeight="1">
      <x:c r="A194" s="1"/>
      <x:c r="B194" s="1"/>
      <x:c r="C194" s="5" t="str">
        <x:v>Brick | Ocean County</x:v>
      </x:c>
      <x:c r="D194" s="26"/>
      <x:c r="E194" s="26"/>
      <x:c r="F194" s="26"/>
      <x:c r="G194" s="26"/>
      <x:c r="H194" s="26"/>
      <x:c r="I194" s="26"/>
      <x:c r="J194" s="26"/>
      <x:c r="K194" s="1"/>
      <x:c r="L194" s="1"/>
      <x:c r="M194" s="1"/>
    </x:row>
    <x:row r="195" ht="22" customHeight="1">
      <x:c r="A195" s="1"/>
      <x:c r="B195" s="1"/>
      <x:c r="C195" s="1" t="str">
        <x:v>Years since launch</x:v>
      </x:c>
      <x:c r="D195" s="49" t="n">
        <x:f>MAX(0,2027-'Town inputs'!$D$32+1)</x:f>
        <x:v>0</x:v>
      </x:c>
      <x:c r="E195" s="49" t="n">
        <x:f>MAX(0,2028-'Town inputs'!$D$32+1)</x:f>
        <x:v>0</x:v>
      </x:c>
      <x:c r="F195" s="49" t="n">
        <x:f>MAX(0,2029-'Town inputs'!$D$32+1)</x:f>
        <x:v>0</x:v>
      </x:c>
      <x:c r="G195" s="49" t="n">
        <x:f>MAX(0,2030-'Town inputs'!$D$32+1)</x:f>
        <x:v>1</x:v>
      </x:c>
      <x:c r="H195" s="49" t="n">
        <x:f>MAX(0,2031-'Town inputs'!$D$32+1)</x:f>
        <x:v>2</x:v>
      </x:c>
      <x:c r="I195" s="49" t="n">
        <x:f>MAX(0,2032-'Town inputs'!$D$32+1)</x:f>
        <x:v>3</x:v>
      </x:c>
      <x:c r="J195" s="49" t="n">
        <x:f>MAX(0,2033-'Town inputs'!$D$32+1)</x:f>
        <x:v>4</x:v>
      </x:c>
      <x:c r="K195" s="1"/>
      <x:c r="L195" s="1"/>
      <x:c r="M195" s="1"/>
    </x:row>
    <x:row r="196" ht="22" customHeight="1">
      <x:c r="A196" s="1"/>
      <x:c r="B196" s="1"/>
      <x:c r="C196" s="1" t="str">
        <x:v>Assumed outsourcing pool</x:v>
      </x:c>
      <x:c r="D196" s="49" t="n">
        <x:f>IF(D195&gt;0,'Town inputs'!$D$13*'Town inputs'!$E$13*'Town inputs'!$E$32*MIN(1,'Town inputs'!$F$32*IF('Assumptions'!$D$3="Downside",'Town inputs'!$D$73,IF('Assumptions'!$D$3="Upside",'Town inputs'!$D$74,1))),0)</x:f>
        <x:v>0</x:v>
      </x:c>
      <x:c r="E196" s="49" t="n">
        <x:f>IF(E195&gt;0,'Town inputs'!$D$13*'Town inputs'!$E$13*'Town inputs'!$E$32*MIN(1,'Town inputs'!$F$32*IF('Assumptions'!$D$3="Downside",'Town inputs'!$D$73,IF('Assumptions'!$D$3="Upside",'Town inputs'!$D$74,1))),0)</x:f>
        <x:v>0</x:v>
      </x:c>
      <x:c r="F196" s="49" t="n">
        <x:f>IF(F195&gt;0,'Town inputs'!$D$13*'Town inputs'!$E$13*'Town inputs'!$E$32*MIN(1,'Town inputs'!$F$32*IF('Assumptions'!$D$3="Downside",'Town inputs'!$D$73,IF('Assumptions'!$D$3="Upside",'Town inputs'!$D$74,1))),0)</x:f>
        <x:v>0</x:v>
      </x:c>
      <x:c r="G196" s="49" t="n">
        <x:f>IF(G195&gt;0,'Town inputs'!$D$13*'Town inputs'!$E$13*'Town inputs'!$E$32*MIN(1,'Town inputs'!$F$32*IF('Assumptions'!$D$3="Downside",'Town inputs'!$D$73,IF('Assumptions'!$D$3="Upside",'Town inputs'!$D$74,1))),0)</x:f>
        <x:v>8402.925825</x:v>
      </x:c>
      <x:c r="H196" s="49" t="n">
        <x:f>IF(H195&gt;0,'Town inputs'!$D$13*'Town inputs'!$E$13*'Town inputs'!$E$32*MIN(1,'Town inputs'!$F$32*IF('Assumptions'!$D$3="Downside",'Town inputs'!$D$73,IF('Assumptions'!$D$3="Upside",'Town inputs'!$D$74,1))),0)</x:f>
        <x:v>8402.925825</x:v>
      </x:c>
      <x:c r="I196" s="49" t="n">
        <x:f>IF(I195&gt;0,'Town inputs'!$D$13*'Town inputs'!$E$13*'Town inputs'!$E$32*MIN(1,'Town inputs'!$F$32*IF('Assumptions'!$D$3="Downside",'Town inputs'!$D$73,IF('Assumptions'!$D$3="Upside",'Town inputs'!$D$74,1))),0)</x:f>
        <x:v>8402.925825</x:v>
      </x:c>
      <x:c r="J196" s="49" t="n">
        <x:f>IF(J195&gt;0,'Town inputs'!$D$13*'Town inputs'!$E$13*'Town inputs'!$E$32*MIN(1,'Town inputs'!$F$32*IF('Assumptions'!$D$3="Downside",'Town inputs'!$D$73,IF('Assumptions'!$D$3="Upside",'Town inputs'!$D$74,1))),0)</x:f>
        <x:v>8402.925825</x:v>
      </x:c>
      <x:c r="K196" s="1"/>
      <x:c r="L196" s="1"/>
      <x:c r="M196" s="1"/>
    </x:row>
    <x:row r="197" ht="22" customHeight="1">
      <x:c r="A197" s="1"/>
      <x:c r="B197" s="1"/>
      <x:c r="C197" s="1" t="str">
        <x:v>Opening active households</x:v>
      </x:c>
      <x:c r="D197" s="11" t="n">
        <x:f>0</x:f>
        <x:v>0</x:v>
      </x:c>
      <x:c r="E197" s="11" t="n">
        <x:f>D204</x:f>
        <x:v>0</x:v>
      </x:c>
      <x:c r="F197" s="11" t="n">
        <x:f>E204</x:f>
        <x:v>0</x:v>
      </x:c>
      <x:c r="G197" s="11" t="n">
        <x:f>F204</x:f>
        <x:v>0</x:v>
      </x:c>
      <x:c r="H197" s="11" t="n">
        <x:f>G204</x:f>
        <x:v>480</x:v>
      </x:c>
      <x:c r="I197" s="11" t="n">
        <x:f>H204</x:f>
        <x:v>960</x:v>
      </x:c>
      <x:c r="J197" s="11" t="n">
        <x:f>I204</x:f>
        <x:v>1440</x:v>
      </x:c>
      <x:c r="K197" s="1"/>
      <x:c r="L197" s="1"/>
      <x:c r="M197" s="1"/>
    </x:row>
    <x:row r="198" ht="22" customHeight="1">
      <x:c r="A198" s="1"/>
      <x:c r="B198" s="1"/>
      <x:c r="C198" s="1" t="str">
        <x:v>Retained households</x:v>
      </x:c>
      <x:c r="D198" s="49" t="n">
        <x:f>D197*'Assumptions'!D12</x:f>
        <x:v>0</x:v>
      </x:c>
      <x:c r="E198" s="49" t="n">
        <x:f>E197*'Assumptions'!E12</x:f>
        <x:v>0</x:v>
      </x:c>
      <x:c r="F198" s="49" t="n">
        <x:f>F197*'Assumptions'!F12</x:f>
        <x:v>0</x:v>
      </x:c>
      <x:c r="G198" s="49" t="n">
        <x:f>G197*'Assumptions'!G12</x:f>
        <x:v>0</x:v>
      </x:c>
      <x:c r="H198" s="49" t="n">
        <x:f>H197*'Assumptions'!H12</x:f>
        <x:v>384</x:v>
      </x:c>
      <x:c r="I198" s="49" t="n">
        <x:f>I197*'Assumptions'!I12</x:f>
        <x:v>768</x:v>
      </x:c>
      <x:c r="J198" s="49" t="n">
        <x:f>J197*'Assumptions'!J12</x:f>
        <x:v>1152</x:v>
      </x:c>
      <x:c r="K198" s="1"/>
      <x:c r="L198" s="1"/>
      <x:c r="M198" s="1"/>
    </x:row>
    <x:row r="199" ht="22" customHeight="1">
      <x:c r="A199" s="1"/>
      <x:c r="B199" s="1"/>
      <x:c r="C199" s="1" t="str">
        <x:v>Previously acquired households</x:v>
      </x:c>
      <x:c r="D199" s="11" t="n">
        <x:f>0</x:f>
        <x:v>0</x:v>
      </x:c>
      <x:c r="E199" s="11" t="n">
        <x:f>D206</x:f>
        <x:v>0</x:v>
      </x:c>
      <x:c r="F199" s="11" t="n">
        <x:f>E206</x:f>
        <x:v>0</x:v>
      </x:c>
      <x:c r="G199" s="11" t="n">
        <x:f>F206</x:f>
        <x:v>0</x:v>
      </x:c>
      <x:c r="H199" s="11" t="n">
        <x:f>G206</x:f>
        <x:v>480</x:v>
      </x:c>
      <x:c r="I199" s="11" t="n">
        <x:f>H206</x:f>
        <x:v>1056</x:v>
      </x:c>
      <x:c r="J199" s="11" t="n">
        <x:f>I206</x:f>
        <x:v>1728</x:v>
      </x:c>
      <x:c r="K199" s="1"/>
      <x:c r="L199" s="1"/>
      <x:c r="M199" s="1"/>
    </x:row>
    <x:row r="200" ht="22" customHeight="1">
      <x:c r="A200" s="1"/>
      <x:c r="B200" s="1"/>
      <x:c r="C200" s="1" t="str">
        <x:v>Qualified provider capacity plan</x:v>
      </x:c>
      <x:c r="D200" s="49" t="n">
        <x:f>IF(D195=0,0,MIN(ROUNDUP('Town inputs'!$E$51*IF('Assumptions'!$D$3="Downside",'Town inputs'!$D$77,IF('Assumptions'!$D$3="Upside",'Town inputs'!$D$78,1)),0),ROUNDUP(('Town inputs'!$J$32+(D195-1)*'Town inputs'!$D$51)*IF('Assumptions'!$D$3="Downside",'Town inputs'!$D$77,IF('Assumptions'!$D$3="Upside",'Town inputs'!$D$78,1)),0)))</x:f>
        <x:v>0</x:v>
      </x:c>
      <x:c r="E200" s="49" t="n">
        <x:f>IF(E195=0,0,MIN(ROUNDUP('Town inputs'!$E$51*IF('Assumptions'!$D$3="Downside",'Town inputs'!$D$77,IF('Assumptions'!$D$3="Upside",'Town inputs'!$D$78,1)),0),ROUNDUP(('Town inputs'!$J$32+(E195-1)*'Town inputs'!$D$51)*IF('Assumptions'!$D$3="Downside",'Town inputs'!$D$77,IF('Assumptions'!$D$3="Upside",'Town inputs'!$D$78,1)),0)))</x:f>
        <x:v>0</x:v>
      </x:c>
      <x:c r="F200" s="49" t="n">
        <x:f>IF(F195=0,0,MIN(ROUNDUP('Town inputs'!$E$51*IF('Assumptions'!$D$3="Downside",'Town inputs'!$D$77,IF('Assumptions'!$D$3="Upside",'Town inputs'!$D$78,1)),0),ROUNDUP(('Town inputs'!$J$32+(F195-1)*'Town inputs'!$D$51)*IF('Assumptions'!$D$3="Downside",'Town inputs'!$D$77,IF('Assumptions'!$D$3="Upside",'Town inputs'!$D$78,1)),0)))</x:f>
        <x:v>0</x:v>
      </x:c>
      <x:c r="G200" s="49" t="n">
        <x:f>IF(G195=0,0,MIN(ROUNDUP('Town inputs'!$E$51*IF('Assumptions'!$D$3="Downside",'Town inputs'!$D$77,IF('Assumptions'!$D$3="Upside",'Town inputs'!$D$78,1)),0),ROUNDUP(('Town inputs'!$J$32+(G195-1)*'Town inputs'!$D$51)*IF('Assumptions'!$D$3="Downside",'Town inputs'!$D$77,IF('Assumptions'!$D$3="Upside",'Town inputs'!$D$78,1)),0)))</x:f>
        <x:v>12</x:v>
      </x:c>
      <x:c r="H200" s="49" t="n">
        <x:f>IF(H195=0,0,MIN(ROUNDUP('Town inputs'!$E$51*IF('Assumptions'!$D$3="Downside",'Town inputs'!$D$77,IF('Assumptions'!$D$3="Upside",'Town inputs'!$D$78,1)),0),ROUNDUP(('Town inputs'!$J$32+(H195-1)*'Town inputs'!$D$51)*IF('Assumptions'!$D$3="Downside",'Town inputs'!$D$77,IF('Assumptions'!$D$3="Upside",'Town inputs'!$D$78,1)),0)))</x:f>
        <x:v>24</x:v>
      </x:c>
      <x:c r="I200" s="49" t="n">
        <x:f>IF(I195=0,0,MIN(ROUNDUP('Town inputs'!$E$51*IF('Assumptions'!$D$3="Downside",'Town inputs'!$D$77,IF('Assumptions'!$D$3="Upside",'Town inputs'!$D$78,1)),0),ROUNDUP(('Town inputs'!$J$32+(I195-1)*'Town inputs'!$D$51)*IF('Assumptions'!$D$3="Downside",'Town inputs'!$D$77,IF('Assumptions'!$D$3="Upside",'Town inputs'!$D$78,1)),0)))</x:f>
        <x:v>36</x:v>
      </x:c>
      <x:c r="J200" s="49" t="n">
        <x:f>IF(J195=0,0,MIN(ROUNDUP('Town inputs'!$E$51*IF('Assumptions'!$D$3="Downside",'Town inputs'!$D$77,IF('Assumptions'!$D$3="Upside",'Town inputs'!$D$78,1)),0),ROUNDUP(('Town inputs'!$J$32+(J195-1)*'Town inputs'!$D$51)*IF('Assumptions'!$D$3="Downside",'Town inputs'!$D$77,IF('Assumptions'!$D$3="Upside",'Town inputs'!$D$78,1)),0)))</x:f>
        <x:v>48</x:v>
      </x:c>
      <x:c r="K200" s="1"/>
      <x:c r="L200" s="1"/>
      <x:c r="M200" s="1"/>
    </x:row>
    <x:row r="201" ht="22" customHeight="1">
      <x:c r="A201" s="1"/>
      <x:c r="B201" s="1"/>
      <x:c r="C201" s="1" t="str">
        <x:v>Household capacity</x:v>
      </x:c>
      <x:c r="D201" s="49" t="n">
        <x:f>D200*'Assumptions'!$D$72</x:f>
        <x:v>0</x:v>
      </x:c>
      <x:c r="E201" s="49" t="n">
        <x:f>E200*'Assumptions'!$D$72</x:f>
        <x:v>0</x:v>
      </x:c>
      <x:c r="F201" s="49" t="n">
        <x:f>F200*'Assumptions'!$D$72</x:f>
        <x:v>0</x:v>
      </x:c>
      <x:c r="G201" s="49" t="n">
        <x:f>G200*'Assumptions'!$D$72</x:f>
        <x:v>480</x:v>
      </x:c>
      <x:c r="H201" s="49" t="n">
        <x:f>H200*'Assumptions'!$D$72</x:f>
        <x:v>960</x:v>
      </x:c>
      <x:c r="I201" s="49" t="n">
        <x:f>I200*'Assumptions'!$D$72</x:f>
        <x:v>1440</x:v>
      </x:c>
      <x:c r="J201" s="49" t="n">
        <x:f>J200*'Assumptions'!$D$72</x:f>
        <x:v>1920</x:v>
      </x:c>
      <x:c r="K201" s="1"/>
      <x:c r="L201" s="1"/>
      <x:c r="M201" s="1"/>
    </x:row>
    <x:row r="202" ht="22" customHeight="1">
      <x:c r="A202" s="1"/>
      <x:c r="B202" s="1"/>
      <x:c r="C202" s="1" t="str">
        <x:v>Unconstrained new demand</x:v>
      </x:c>
      <x:c r="D202" s="49" t="n">
        <x:f>MAX(0,D196-D199)*MIN(1,MIN('Town inputs'!$D$65,'Town inputs'!$D$63+MAX(0,D195-1)*'Town inputs'!$D$64)*IF('Assumptions'!$D$3="Downside",'Town inputs'!$D$75,IF('Assumptions'!$D$3="Upside",'Town inputs'!$D$76,1)))</x:f>
        <x:v>0</x:v>
      </x:c>
      <x:c r="E202" s="49" t="n">
        <x:f>MAX(0,E196-E199)*MIN(1,MIN('Town inputs'!$D$65,'Town inputs'!$D$63+MAX(0,E195-1)*'Town inputs'!$D$64)*IF('Assumptions'!$D$3="Downside",'Town inputs'!$D$75,IF('Assumptions'!$D$3="Upside",'Town inputs'!$D$76,1)))</x:f>
        <x:v>0</x:v>
      </x:c>
      <x:c r="F202" s="49" t="n">
        <x:f>MAX(0,F196-F199)*MIN(1,MIN('Town inputs'!$D$65,'Town inputs'!$D$63+MAX(0,F195-1)*'Town inputs'!$D$64)*IF('Assumptions'!$D$3="Downside",'Town inputs'!$D$75,IF('Assumptions'!$D$3="Upside",'Town inputs'!$D$76,1)))</x:f>
        <x:v>0</x:v>
      </x:c>
      <x:c r="G202" s="49" t="n">
        <x:f>MAX(0,G196-G199)*MIN(1,MIN('Town inputs'!$D$65,'Town inputs'!$D$63+MAX(0,G195-1)*'Town inputs'!$D$64)*IF('Assumptions'!$D$3="Downside",'Town inputs'!$D$75,IF('Assumptions'!$D$3="Upside",'Town inputs'!$D$76,1)))</x:f>
        <x:v>672.234066</x:v>
      </x:c>
      <x:c r="H202" s="49" t="n">
        <x:f>MAX(0,H196-H199)*MIN(1,MIN('Town inputs'!$D$65,'Town inputs'!$D$63+MAX(0,H195-1)*'Town inputs'!$D$64)*IF('Assumptions'!$D$3="Downside",'Town inputs'!$D$75,IF('Assumptions'!$D$3="Upside",'Town inputs'!$D$76,1)))</x:f>
        <x:v>792.2925825000001</x:v>
      </x:c>
      <x:c r="I202" s="49" t="n">
        <x:f>MAX(0,I196-I199)*MIN(1,MIN('Town inputs'!$D$65,'Town inputs'!$D$63+MAX(0,I195-1)*'Town inputs'!$D$64)*IF('Assumptions'!$D$3="Downside",'Town inputs'!$D$75,IF('Assumptions'!$D$3="Upside",'Town inputs'!$D$76,1)))</x:f>
        <x:v>881.631099</x:v>
      </x:c>
      <x:c r="J202" s="49" t="n">
        <x:f>MAX(0,J196-J199)*MIN(1,MIN('Town inputs'!$D$65,'Town inputs'!$D$63+MAX(0,J195-1)*'Town inputs'!$D$64)*IF('Assumptions'!$D$3="Downside",'Town inputs'!$D$75,IF('Assumptions'!$D$3="Upside",'Town inputs'!$D$76,1)))</x:f>
        <x:v>934.4896155000001</x:v>
      </x:c>
      <x:c r="K202" s="1"/>
      <x:c r="L202" s="1"/>
      <x:c r="M202" s="1"/>
    </x:row>
    <x:row r="203" ht="22" customHeight="1">
      <x:c r="A203" s="1"/>
      <x:c r="B203" s="1"/>
      <x:c r="C203" s="1" t="str">
        <x:v>New first-time households</x:v>
      </x:c>
      <x:c r="D203" s="11" t="n">
        <x:f>MIN(D202,MAX(0,D201-D198))</x:f>
        <x:v>0</x:v>
      </x:c>
      <x:c r="E203" s="11" t="n">
        <x:f>MIN(E202,MAX(0,E201-E198))</x:f>
        <x:v>0</x:v>
      </x:c>
      <x:c r="F203" s="11" t="n">
        <x:f>MIN(F202,MAX(0,F201-F198))</x:f>
        <x:v>0</x:v>
      </x:c>
      <x:c r="G203" s="11" t="n">
        <x:f>MIN(G202,MAX(0,G201-G198))</x:f>
        <x:v>480</x:v>
      </x:c>
      <x:c r="H203" s="11" t="n">
        <x:f>MIN(H202,MAX(0,H201-H198))</x:f>
        <x:v>576</x:v>
      </x:c>
      <x:c r="I203" s="11" t="n">
        <x:f>MIN(I202,MAX(0,I201-I198))</x:f>
        <x:v>672</x:v>
      </x:c>
      <x:c r="J203" s="11" t="n">
        <x:f>MIN(J202,MAX(0,J201-J198))</x:f>
        <x:v>768</x:v>
      </x:c>
      <x:c r="K203" s="1"/>
      <x:c r="L203" s="1"/>
      <x:c r="M203" s="1"/>
    </x:row>
    <x:row r="204" ht="22" customHeight="1">
      <x:c r="A204" s="1"/>
      <x:c r="B204" s="1"/>
      <x:c r="C204" s="1" t="str">
        <x:v>Ending active households</x:v>
      </x:c>
      <x:c r="D204" s="11" t="n">
        <x:f>D198+D203</x:f>
        <x:v>0</x:v>
      </x:c>
      <x:c r="E204" s="11" t="n">
        <x:f>E198+E203</x:f>
        <x:v>0</x:v>
      </x:c>
      <x:c r="F204" s="11" t="n">
        <x:f>F198+F203</x:f>
        <x:v>0</x:v>
      </x:c>
      <x:c r="G204" s="11" t="n">
        <x:f>G198+G203</x:f>
        <x:v>480</x:v>
      </x:c>
      <x:c r="H204" s="11" t="n">
        <x:f>H198+H203</x:f>
        <x:v>960</x:v>
      </x:c>
      <x:c r="I204" s="11" t="n">
        <x:f>I198+I203</x:f>
        <x:v>1440</x:v>
      </x:c>
      <x:c r="J204" s="11" t="n">
        <x:f>J198+J203</x:f>
        <x:v>1920</x:v>
      </x:c>
      <x:c r="K204" s="1"/>
      <x:c r="L204" s="1"/>
      <x:c r="M204" s="1"/>
    </x:row>
    <x:row r="205" ht="22" customHeight="1">
      <x:c r="A205" s="1"/>
      <x:c r="B205" s="1"/>
      <x:c r="C205" s="1" t="str">
        <x:v>Full-season equivalent households</x:v>
      </x:c>
      <x:c r="D205" s="49" t="n">
        <x:f>D198+D203*'Assumptions'!$D$71</x:f>
        <x:v>0</x:v>
      </x:c>
      <x:c r="E205" s="49" t="n">
        <x:f>E198+E203*'Assumptions'!$D$71</x:f>
        <x:v>0</x:v>
      </x:c>
      <x:c r="F205" s="49" t="n">
        <x:f>F198+F203*'Assumptions'!$D$71</x:f>
        <x:v>0</x:v>
      </x:c>
      <x:c r="G205" s="49" t="n">
        <x:f>G198+G203*'Assumptions'!$D$71</x:f>
        <x:v>240</x:v>
      </x:c>
      <x:c r="H205" s="49" t="n">
        <x:f>H198+H203*'Assumptions'!$D$71</x:f>
        <x:v>672</x:v>
      </x:c>
      <x:c r="I205" s="49" t="n">
        <x:f>I198+I203*'Assumptions'!$D$71</x:f>
        <x:v>1104</x:v>
      </x:c>
      <x:c r="J205" s="49" t="n">
        <x:f>J198+J203*'Assumptions'!$D$71</x:f>
        <x:v>1536</x:v>
      </x:c>
      <x:c r="K205" s="1"/>
      <x:c r="L205" s="1"/>
      <x:c r="M205" s="1"/>
    </x:row>
    <x:row r="206" ht="22" customHeight="1">
      <x:c r="A206" s="1"/>
      <x:c r="B206" s="1"/>
      <x:c r="C206" s="1" t="str">
        <x:v>Cumulative ever-acquired households</x:v>
      </x:c>
      <x:c r="D206" s="11" t="n">
        <x:f>D199+D203</x:f>
        <x:v>0</x:v>
      </x:c>
      <x:c r="E206" s="11" t="n">
        <x:f>E199+E203</x:f>
        <x:v>0</x:v>
      </x:c>
      <x:c r="F206" s="11" t="n">
        <x:f>F199+F203</x:f>
        <x:v>0</x:v>
      </x:c>
      <x:c r="G206" s="11" t="n">
        <x:f>G199+G203</x:f>
        <x:v>480</x:v>
      </x:c>
      <x:c r="H206" s="11" t="n">
        <x:f>H199+H203</x:f>
        <x:v>1056</x:v>
      </x:c>
      <x:c r="I206" s="11" t="n">
        <x:f>I199+I203</x:f>
        <x:v>1728</x:v>
      </x:c>
      <x:c r="J206" s="11" t="n">
        <x:f>J199+J203</x:f>
        <x:v>2496</x:v>
      </x:c>
      <x:c r="K206" s="1"/>
      <x:c r="L206" s="1"/>
      <x:c r="M206" s="1"/>
    </x:row>
    <x:row r="207" ht="22" customHeight="1">
      <x:c r="A207" s="1"/>
      <x:c r="B207" s="1"/>
      <x:c r="C207" s="1" t="str">
        <x:v>Ending payout-active providers</x:v>
      </x:c>
      <x:c r="D207" s="49" t="n">
        <x:f>MIN(D200,ROUNDUP(D204/'Assumptions'!$D$72,0))</x:f>
        <x:v>0</x:v>
      </x:c>
      <x:c r="E207" s="49" t="n">
        <x:f>MIN(E200,ROUNDUP(E204/'Assumptions'!$D$72,0))</x:f>
        <x:v>0</x:v>
      </x:c>
      <x:c r="F207" s="49" t="n">
        <x:f>MIN(F200,ROUNDUP(F204/'Assumptions'!$D$72,0))</x:f>
        <x:v>0</x:v>
      </x:c>
      <x:c r="G207" s="49" t="n">
        <x:f>MIN(G200,ROUNDUP(G204/'Assumptions'!$D$72,0))</x:f>
        <x:v>12</x:v>
      </x:c>
      <x:c r="H207" s="49" t="n">
        <x:f>MIN(H200,ROUNDUP(H204/'Assumptions'!$D$72,0))</x:f>
        <x:v>24</x:v>
      </x:c>
      <x:c r="I207" s="49" t="n">
        <x:f>MIN(I200,ROUNDUP(I204/'Assumptions'!$D$72,0))</x:f>
        <x:v>36</x:v>
      </x:c>
      <x:c r="J207" s="49" t="n">
        <x:f>MIN(J200,ROUNDUP(J204/'Assumptions'!$D$72,0))</x:f>
        <x:v>48</x:v>
      </x:c>
      <x:c r="K207" s="1"/>
      <x:c r="L207" s="1"/>
      <x:c r="M207" s="1"/>
    </x:row>
    <x:row r="208" ht="22" customHeight="1">
      <x:c r="A208" s="1"/>
      <x:c r="B208" s="1"/>
      <x:c r="C208" s="1" t="str">
        <x:v>Retained active providers</x:v>
      </x:c>
      <x:c r="D208" s="11" t="n">
        <x:f>0</x:f>
        <x:v>0</x:v>
      </x:c>
      <x:c r="E208" s="49" t="n">
        <x:f>D207*'Assumptions'!$D$73</x:f>
        <x:v>0</x:v>
      </x:c>
      <x:c r="F208" s="49" t="n">
        <x:f>E207*'Assumptions'!$D$73</x:f>
        <x:v>0</x:v>
      </x:c>
      <x:c r="G208" s="49" t="n">
        <x:f>F207*'Assumptions'!$D$73</x:f>
        <x:v>0</x:v>
      </x:c>
      <x:c r="H208" s="49" t="n">
        <x:f>G207*'Assumptions'!$D$73</x:f>
        <x:v>10.2</x:v>
      </x:c>
      <x:c r="I208" s="49" t="n">
        <x:f>H207*'Assumptions'!$D$73</x:f>
        <x:v>20.4</x:v>
      </x:c>
      <x:c r="J208" s="49" t="n">
        <x:f>I207*'Assumptions'!$D$73</x:f>
        <x:v>30.599999999999998</x:v>
      </x:c>
      <x:c r="K208" s="1"/>
      <x:c r="L208" s="1"/>
      <x:c r="M208" s="1"/>
    </x:row>
    <x:row r="209" ht="22" customHeight="1">
      <x:c r="A209" s="1"/>
      <x:c r="B209" s="1"/>
      <x:c r="C209" s="1" t="str">
        <x:v>New / replacement active providers</x:v>
      </x:c>
      <x:c r="D209" s="11" t="n">
        <x:f>MAX(0,D207-D208)</x:f>
        <x:v>0</x:v>
      </x:c>
      <x:c r="E209" s="11" t="n">
        <x:f>MAX(0,E207-E208)</x:f>
        <x:v>0</x:v>
      </x:c>
      <x:c r="F209" s="11" t="n">
        <x:f>MAX(0,F207-F208)</x:f>
        <x:v>0</x:v>
      </x:c>
      <x:c r="G209" s="11" t="n">
        <x:f>MAX(0,G207-G208)</x:f>
        <x:v>12</x:v>
      </x:c>
      <x:c r="H209" s="11" t="n">
        <x:f>MAX(0,H207-H208)</x:f>
        <x:v>13.8</x:v>
      </x:c>
      <x:c r="I209" s="11" t="n">
        <x:f>MAX(0,I207-I208)</x:f>
        <x:v>15.600000000000001</x:v>
      </x:c>
      <x:c r="J209" s="11" t="n">
        <x:f>MAX(0,J207-J208)</x:f>
        <x:v>17.400000000000002</x:v>
      </x:c>
      <x:c r="K209" s="1"/>
      <x:c r="L209" s="1"/>
      <x:c r="M209" s="1"/>
    </x:row>
    <x:row r="210" ht="22" customHeight="1">
      <x:c r="A210" s="1"/>
      <x:c r="B210" s="1"/>
      <x:c r="C210" s="1" t="str">
        <x:v>Average payout-active providers</x:v>
      </x:c>
      <x:c r="D210" s="49" t="n">
        <x:f>D208+D209*'Assumptions'!$D$71</x:f>
        <x:v>0</x:v>
      </x:c>
      <x:c r="E210" s="49" t="n">
        <x:f>E208+E209*'Assumptions'!$D$71</x:f>
        <x:v>0</x:v>
      </x:c>
      <x:c r="F210" s="49" t="n">
        <x:f>F208+F209*'Assumptions'!$D$71</x:f>
        <x:v>0</x:v>
      </x:c>
      <x:c r="G210" s="49" t="n">
        <x:f>G208+G209*'Assumptions'!$D$71</x:f>
        <x:v>6</x:v>
      </x:c>
      <x:c r="H210" s="49" t="n">
        <x:f>H208+H209*'Assumptions'!$D$71</x:f>
        <x:v>17.1</x:v>
      </x:c>
      <x:c r="I210" s="49" t="n">
        <x:f>I208+I209*'Assumptions'!$D$71</x:f>
        <x:v>28.2</x:v>
      </x:c>
      <x:c r="J210" s="49" t="n">
        <x:f>J208+J209*'Assumptions'!$D$71</x:f>
        <x:v>39.3</x:v>
      </x:c>
      <x:c r="K210" s="1"/>
      <x:c r="L210" s="1"/>
      <x:c r="M210" s="1"/>
    </x:row>
    <x:row r="211" ht="22" customHeight="1">
      <x:c r="A211" s="1"/>
      <x:c r="B211" s="1"/>
      <x:c r="C211" s="1" t="str">
        <x:v>Cash acquisition spend</x:v>
      </x:c>
      <x:c r="D211" s="50" t="n">
        <x:f>D203*'Town inputs'!$F$51*(1-'Town inputs'!$D$66)^0*IF('Assumptions'!$D$3="Downside",'Town inputs'!$D$79,IF('Assumptions'!$D$3="Upside",'Town inputs'!$D$80,1))*(1+('Town inputs'!$D$103/'Town inputs'!$D$104-1)*0/6)</x:f>
        <x:v>0</x:v>
      </x:c>
      <x:c r="E211" s="50" t="n">
        <x:f>E203*'Town inputs'!$F$51*(1-'Town inputs'!$D$66)^1*IF('Assumptions'!$D$3="Downside",'Town inputs'!$D$79,IF('Assumptions'!$D$3="Upside",'Town inputs'!$D$80,1))*(1+('Town inputs'!$D$103/'Town inputs'!$D$104-1)*1/6)</x:f>
        <x:v>0</x:v>
      </x:c>
      <x:c r="F211" s="50" t="n">
        <x:f>F203*'Town inputs'!$F$51*(1-'Town inputs'!$D$66)^2*IF('Assumptions'!$D$3="Downside",'Town inputs'!$D$79,IF('Assumptions'!$D$3="Upside",'Town inputs'!$D$80,1))*(1+('Town inputs'!$D$103/'Town inputs'!$D$104-1)*2/6)</x:f>
        <x:v>0</x:v>
      </x:c>
      <x:c r="G211" s="50" t="n">
        <x:f>G203*'Town inputs'!$F$51*(1-'Town inputs'!$D$66)^3*IF('Assumptions'!$D$3="Downside",'Town inputs'!$D$79,IF('Assumptions'!$D$3="Upside",'Town inputs'!$D$80,1))*(1+('Town inputs'!$D$103/'Town inputs'!$D$104-1)*3/6)</x:f>
        <x:v>21290.369501305297</x:v>
      </x:c>
      <x:c r="H211" s="50" t="n">
        <x:f>H203*'Town inputs'!$F$51*(1-'Town inputs'!$D$66)^4*IF('Assumptions'!$D$3="Downside",'Town inputs'!$D$79,IF('Assumptions'!$D$3="Upside",'Town inputs'!$D$80,1))*(1+('Town inputs'!$D$103/'Town inputs'!$D$104-1)*4/6)</x:f>
        <x:v>23760.175641984053</x:v>
      </x:c>
      <x:c r="I211" s="50" t="n">
        <x:f>I203*'Town inputs'!$F$51*(1-'Town inputs'!$D$66)^5*IF('Assumptions'!$D$3="Downside",'Town inputs'!$D$79,IF('Assumptions'!$D$3="Upside",'Town inputs'!$D$80,1))*(1+('Town inputs'!$D$103/'Town inputs'!$D$104-1)*5/6)</x:f>
        <x:v>25768.00747483207</x:v>
      </x:c>
      <x:c r="J211" s="50" t="n">
        <x:f>J203*'Town inputs'!$F$51*(1-'Town inputs'!$D$66)^6*IF('Assumptions'!$D$3="Downside",'Town inputs'!$D$79,IF('Assumptions'!$D$3="Upside",'Town inputs'!$D$80,1))*(1+('Town inputs'!$D$103/'Town inputs'!$D$104-1)*6/6)</x:f>
        <x:v>27361.97630378121</x:v>
      </x:c>
      <x:c r="K211" s="1"/>
      <x:c r="L211" s="1"/>
      <x:c r="M211" s="1"/>
    </x:row>
    <x:row r="212" ht="22" customHeight="1">
      <x:c r="A212" s="1"/>
      <x:c r="B212" s="1"/>
      <x:c r="C212" s="1" t="str">
        <x:v>Launch spend</x:v>
      </x:c>
      <x:c r="D212" s="50" t="n">
        <x:f>IF(D195=1,'Town inputs'!$G$51*(1+'Town inputs'!$D$67)^0,0)</x:f>
        <x:v>0</x:v>
      </x:c>
      <x:c r="E212" s="50" t="n">
        <x:f>IF(E195=1,'Town inputs'!$G$51*(1+'Town inputs'!$D$67)^1,0)</x:f>
        <x:v>0</x:v>
      </x:c>
      <x:c r="F212" s="50" t="n">
        <x:f>IF(F195=1,'Town inputs'!$G$51*(1+'Town inputs'!$D$67)^2,0)</x:f>
        <x:v>0</x:v>
      </x:c>
      <x:c r="G212" s="50" t="n">
        <x:f>IF(G195=1,'Town inputs'!$G$51*(1+'Town inputs'!$D$67)^3,0)</x:f>
        <x:v>27318.175</x:v>
      </x:c>
      <x:c r="H212" s="50" t="n">
        <x:f>IF(H195=1,'Town inputs'!$G$51*(1+'Town inputs'!$D$67)^4,0)</x:f>
        <x:v>0</x:v>
      </x:c>
      <x:c r="I212" s="50" t="n">
        <x:f>IF(I195=1,'Town inputs'!$G$51*(1+'Town inputs'!$D$67)^5,0)</x:f>
        <x:v>0</x:v>
      </x:c>
      <x:c r="J212" s="50" t="n">
        <x:f>IF(J195=1,'Town inputs'!$G$51*(1+'Town inputs'!$D$67)^6,0)</x:f>
        <x:v>0</x:v>
      </x:c>
      <x:c r="K212" s="1"/>
      <x:c r="L212" s="1"/>
      <x:c r="M212" s="1"/>
    </x:row>
    <x:row r="213" ht="22" customHeight="1">
      <x:c r="A213" s="1"/>
      <x:c r="B213" s="1"/>
      <x:c r="C213" s="1" t="str">
        <x:v>Annual local coverage</x:v>
      </x:c>
      <x:c r="D213" s="50" t="n">
        <x:f>IF(D195&gt;0,'Town inputs'!$H$51*(1+'Town inputs'!$D$67)^0*IF(D195=1,'Assumptions'!$D$71,1),0)</x:f>
        <x:v>0</x:v>
      </x:c>
      <x:c r="E213" s="50" t="n">
        <x:f>IF(E195&gt;0,'Town inputs'!$H$51*(1+'Town inputs'!$D$67)^1*IF(E195=1,'Assumptions'!$D$71,1),0)</x:f>
        <x:v>0</x:v>
      </x:c>
      <x:c r="F213" s="50" t="n">
        <x:f>IF(F195&gt;0,'Town inputs'!$H$51*(1+'Town inputs'!$D$67)^2*IF(F195=1,'Assumptions'!$D$71,1),0)</x:f>
        <x:v>0</x:v>
      </x:c>
      <x:c r="G213" s="50" t="n">
        <x:f>IF(G195&gt;0,'Town inputs'!$H$51*(1+'Town inputs'!$D$67)^3*IF(G195=1,'Assumptions'!$D$71,1),0)</x:f>
        <x:v>5463.635</x:v>
      </x:c>
      <x:c r="H213" s="50" t="n">
        <x:f>IF(H195&gt;0,'Town inputs'!$H$51*(1+'Town inputs'!$D$67)^4*IF(H195=1,'Assumptions'!$D$71,1),0)</x:f>
        <x:v>11255.0881</x:v>
      </x:c>
      <x:c r="I213" s="50" t="n">
        <x:f>IF(I195&gt;0,'Town inputs'!$H$51*(1+'Town inputs'!$D$67)^5*IF(I195=1,'Assumptions'!$D$71,1),0)</x:f>
        <x:v>11592.740743</x:v>
      </x:c>
      <x:c r="J213" s="50" t="n">
        <x:f>IF(J195&gt;0,'Town inputs'!$H$51*(1+'Town inputs'!$D$67)^6*IF(J195=1,'Assumptions'!$D$71,1),0)</x:f>
        <x:v>11940.522965290002</x:v>
      </x:c>
      <x:c r="K213" s="1"/>
      <x:c r="L213" s="1"/>
      <x:c r="M213" s="1"/>
    </x:row>
    <x:row r="214" ht="22" customHeight="1">
      <x:c r="A214" s="1"/>
      <x:c r="B214" s="1"/>
      <x:c r="C214" s="1"/>
      <x:c r="D214" s="6"/>
      <x:c r="E214" s="6"/>
      <x:c r="F214" s="6"/>
      <x:c r="G214" s="6"/>
      <x:c r="H214" s="6"/>
      <x:c r="I214" s="6"/>
      <x:c r="J214" s="6"/>
      <x:c r="K214" s="1"/>
      <x:c r="L214" s="1"/>
      <x:c r="M214" s="1"/>
    </x:row>
    <x:row r="215" ht="22" customHeight="1">
      <x:c r="A215" s="1"/>
      <x:c r="B215" s="1"/>
      <x:c r="C215" s="1"/>
      <x:c r="D215" s="6"/>
      <x:c r="E215" s="6"/>
      <x:c r="F215" s="6"/>
      <x:c r="G215" s="6"/>
      <x:c r="H215" s="6"/>
      <x:c r="I215" s="6"/>
      <x:c r="J215" s="6"/>
      <x:c r="K215" s="1"/>
      <x:c r="L215" s="1"/>
      <x:c r="M215" s="1"/>
    </x:row>
    <x:row r="216" ht="22" customHeight="1">
      <x:c r="A216" s="1"/>
      <x:c r="B216" s="1"/>
      <x:c r="C216" s="5" t="str">
        <x:v>Jackson | Ocean County</x:v>
      </x:c>
      <x:c r="D216" s="26"/>
      <x:c r="E216" s="26"/>
      <x:c r="F216" s="26"/>
      <x:c r="G216" s="26"/>
      <x:c r="H216" s="26"/>
      <x:c r="I216" s="26"/>
      <x:c r="J216" s="26"/>
      <x:c r="K216" s="1"/>
      <x:c r="L216" s="1"/>
      <x:c r="M216" s="1"/>
    </x:row>
    <x:row r="217" ht="22" customHeight="1">
      <x:c r="A217" s="1"/>
      <x:c r="B217" s="1"/>
      <x:c r="C217" s="1" t="str">
        <x:v>Years since launch</x:v>
      </x:c>
      <x:c r="D217" s="49" t="n">
        <x:f>MAX(0,2027-'Town inputs'!$D$33+1)</x:f>
        <x:v>0</x:v>
      </x:c>
      <x:c r="E217" s="49" t="n">
        <x:f>MAX(0,2028-'Town inputs'!$D$33+1)</x:f>
        <x:v>0</x:v>
      </x:c>
      <x:c r="F217" s="49" t="n">
        <x:f>MAX(0,2029-'Town inputs'!$D$33+1)</x:f>
        <x:v>0</x:v>
      </x:c>
      <x:c r="G217" s="49" t="n">
        <x:f>MAX(0,2030-'Town inputs'!$D$33+1)</x:f>
        <x:v>1</x:v>
      </x:c>
      <x:c r="H217" s="49" t="n">
        <x:f>MAX(0,2031-'Town inputs'!$D$33+1)</x:f>
        <x:v>2</x:v>
      </x:c>
      <x:c r="I217" s="49" t="n">
        <x:f>MAX(0,2032-'Town inputs'!$D$33+1)</x:f>
        <x:v>3</x:v>
      </x:c>
      <x:c r="J217" s="49" t="n">
        <x:f>MAX(0,2033-'Town inputs'!$D$33+1)</x:f>
        <x:v>4</x:v>
      </x:c>
      <x:c r="K217" s="1"/>
      <x:c r="L217" s="1"/>
      <x:c r="M217" s="1"/>
    </x:row>
    <x:row r="218" ht="22" customHeight="1">
      <x:c r="A218" s="1"/>
      <x:c r="B218" s="1"/>
      <x:c r="C218" s="1" t="str">
        <x:v>Assumed outsourcing pool</x:v>
      </x:c>
      <x:c r="D218" s="49" t="n">
        <x:f>IF(D217&gt;0,'Town inputs'!$D$14*'Town inputs'!$E$14*'Town inputs'!$E$33*MIN(1,'Town inputs'!$F$33*IF('Assumptions'!$D$3="Downside",'Town inputs'!$D$73,IF('Assumptions'!$D$3="Upside",'Town inputs'!$D$74,1))),0)</x:f>
        <x:v>0</x:v>
      </x:c>
      <x:c r="E218" s="49" t="n">
        <x:f>IF(E217&gt;0,'Town inputs'!$D$14*'Town inputs'!$E$14*'Town inputs'!$E$33*MIN(1,'Town inputs'!$F$33*IF('Assumptions'!$D$3="Downside",'Town inputs'!$D$73,IF('Assumptions'!$D$3="Upside",'Town inputs'!$D$74,1))),0)</x:f>
        <x:v>0</x:v>
      </x:c>
      <x:c r="F218" s="49" t="n">
        <x:f>IF(F217&gt;0,'Town inputs'!$D$14*'Town inputs'!$E$14*'Town inputs'!$E$33*MIN(1,'Town inputs'!$F$33*IF('Assumptions'!$D$3="Downside",'Town inputs'!$D$73,IF('Assumptions'!$D$3="Upside",'Town inputs'!$D$74,1))),0)</x:f>
        <x:v>0</x:v>
      </x:c>
      <x:c r="G218" s="49" t="n">
        <x:f>IF(G217&gt;0,'Town inputs'!$D$14*'Town inputs'!$E$14*'Town inputs'!$E$33*MIN(1,'Town inputs'!$F$33*IF('Assumptions'!$D$3="Downside",'Town inputs'!$D$73,IF('Assumptions'!$D$3="Upside",'Town inputs'!$D$74,1))),0)</x:f>
        <x:v>8391.956925</x:v>
      </x:c>
      <x:c r="H218" s="49" t="n">
        <x:f>IF(H217&gt;0,'Town inputs'!$D$14*'Town inputs'!$E$14*'Town inputs'!$E$33*MIN(1,'Town inputs'!$F$33*IF('Assumptions'!$D$3="Downside",'Town inputs'!$D$73,IF('Assumptions'!$D$3="Upside",'Town inputs'!$D$74,1))),0)</x:f>
        <x:v>8391.956925</x:v>
      </x:c>
      <x:c r="I218" s="49" t="n">
        <x:f>IF(I217&gt;0,'Town inputs'!$D$14*'Town inputs'!$E$14*'Town inputs'!$E$33*MIN(1,'Town inputs'!$F$33*IF('Assumptions'!$D$3="Downside",'Town inputs'!$D$73,IF('Assumptions'!$D$3="Upside",'Town inputs'!$D$74,1))),0)</x:f>
        <x:v>8391.956925</x:v>
      </x:c>
      <x:c r="J218" s="49" t="n">
        <x:f>IF(J217&gt;0,'Town inputs'!$D$14*'Town inputs'!$E$14*'Town inputs'!$E$33*MIN(1,'Town inputs'!$F$33*IF('Assumptions'!$D$3="Downside",'Town inputs'!$D$73,IF('Assumptions'!$D$3="Upside",'Town inputs'!$D$74,1))),0)</x:f>
        <x:v>8391.956925</x:v>
      </x:c>
      <x:c r="K218" s="1"/>
      <x:c r="L218" s="1"/>
      <x:c r="M218" s="1"/>
    </x:row>
    <x:row r="219" ht="22" customHeight="1">
      <x:c r="A219" s="1"/>
      <x:c r="B219" s="1"/>
      <x:c r="C219" s="1" t="str">
        <x:v>Opening active households</x:v>
      </x:c>
      <x:c r="D219" s="11" t="n">
        <x:f>0</x:f>
        <x:v>0</x:v>
      </x:c>
      <x:c r="E219" s="11" t="n">
        <x:f>D226</x:f>
        <x:v>0</x:v>
      </x:c>
      <x:c r="F219" s="11" t="n">
        <x:f>E226</x:f>
        <x:v>0</x:v>
      </x:c>
      <x:c r="G219" s="11" t="n">
        <x:f>F226</x:f>
        <x:v>0</x:v>
      </x:c>
      <x:c r="H219" s="11" t="n">
        <x:f>G226</x:f>
        <x:v>480</x:v>
      </x:c>
      <x:c r="I219" s="11" t="n">
        <x:f>H226</x:f>
        <x:v>960</x:v>
      </x:c>
      <x:c r="J219" s="11" t="n">
        <x:f>I226</x:f>
        <x:v>1440</x:v>
      </x:c>
      <x:c r="K219" s="1"/>
      <x:c r="L219" s="1"/>
      <x:c r="M219" s="1"/>
    </x:row>
    <x:row r="220" ht="22" customHeight="1">
      <x:c r="A220" s="1"/>
      <x:c r="B220" s="1"/>
      <x:c r="C220" s="1" t="str">
        <x:v>Retained households</x:v>
      </x:c>
      <x:c r="D220" s="49" t="n">
        <x:f>D219*'Assumptions'!D12</x:f>
        <x:v>0</x:v>
      </x:c>
      <x:c r="E220" s="49" t="n">
        <x:f>E219*'Assumptions'!E12</x:f>
        <x:v>0</x:v>
      </x:c>
      <x:c r="F220" s="49" t="n">
        <x:f>F219*'Assumptions'!F12</x:f>
        <x:v>0</x:v>
      </x:c>
      <x:c r="G220" s="49" t="n">
        <x:f>G219*'Assumptions'!G12</x:f>
        <x:v>0</x:v>
      </x:c>
      <x:c r="H220" s="49" t="n">
        <x:f>H219*'Assumptions'!H12</x:f>
        <x:v>384</x:v>
      </x:c>
      <x:c r="I220" s="49" t="n">
        <x:f>I219*'Assumptions'!I12</x:f>
        <x:v>768</x:v>
      </x:c>
      <x:c r="J220" s="49" t="n">
        <x:f>J219*'Assumptions'!J12</x:f>
        <x:v>1152</x:v>
      </x:c>
      <x:c r="K220" s="1"/>
      <x:c r="L220" s="1"/>
      <x:c r="M220" s="1"/>
    </x:row>
    <x:row r="221" ht="22" customHeight="1">
      <x:c r="A221" s="1"/>
      <x:c r="B221" s="1"/>
      <x:c r="C221" s="1" t="str">
        <x:v>Previously acquired households</x:v>
      </x:c>
      <x:c r="D221" s="11" t="n">
        <x:f>0</x:f>
        <x:v>0</x:v>
      </x:c>
      <x:c r="E221" s="11" t="n">
        <x:f>D228</x:f>
        <x:v>0</x:v>
      </x:c>
      <x:c r="F221" s="11" t="n">
        <x:f>E228</x:f>
        <x:v>0</x:v>
      </x:c>
      <x:c r="G221" s="11" t="n">
        <x:f>F228</x:f>
        <x:v>0</x:v>
      </x:c>
      <x:c r="H221" s="11" t="n">
        <x:f>G228</x:f>
        <x:v>480</x:v>
      </x:c>
      <x:c r="I221" s="11" t="n">
        <x:f>H228</x:f>
        <x:v>1056</x:v>
      </x:c>
      <x:c r="J221" s="11" t="n">
        <x:f>I228</x:f>
        <x:v>1728</x:v>
      </x:c>
      <x:c r="K221" s="1"/>
      <x:c r="L221" s="1"/>
      <x:c r="M221" s="1"/>
    </x:row>
    <x:row r="222" ht="22" customHeight="1">
      <x:c r="A222" s="1"/>
      <x:c r="B222" s="1"/>
      <x:c r="C222" s="1" t="str">
        <x:v>Qualified provider capacity plan</x:v>
      </x:c>
      <x:c r="D222" s="49" t="n">
        <x:f>IF(D217=0,0,MIN(ROUNDUP('Town inputs'!$E$52*IF('Assumptions'!$D$3="Downside",'Town inputs'!$D$77,IF('Assumptions'!$D$3="Upside",'Town inputs'!$D$78,1)),0),ROUNDUP(('Town inputs'!$J$33+(D217-1)*'Town inputs'!$D$52)*IF('Assumptions'!$D$3="Downside",'Town inputs'!$D$77,IF('Assumptions'!$D$3="Upside",'Town inputs'!$D$78,1)),0)))</x:f>
        <x:v>0</x:v>
      </x:c>
      <x:c r="E222" s="49" t="n">
        <x:f>IF(E217=0,0,MIN(ROUNDUP('Town inputs'!$E$52*IF('Assumptions'!$D$3="Downside",'Town inputs'!$D$77,IF('Assumptions'!$D$3="Upside",'Town inputs'!$D$78,1)),0),ROUNDUP(('Town inputs'!$J$33+(E217-1)*'Town inputs'!$D$52)*IF('Assumptions'!$D$3="Downside",'Town inputs'!$D$77,IF('Assumptions'!$D$3="Upside",'Town inputs'!$D$78,1)),0)))</x:f>
        <x:v>0</x:v>
      </x:c>
      <x:c r="F222" s="49" t="n">
        <x:f>IF(F217=0,0,MIN(ROUNDUP('Town inputs'!$E$52*IF('Assumptions'!$D$3="Downside",'Town inputs'!$D$77,IF('Assumptions'!$D$3="Upside",'Town inputs'!$D$78,1)),0),ROUNDUP(('Town inputs'!$J$33+(F217-1)*'Town inputs'!$D$52)*IF('Assumptions'!$D$3="Downside",'Town inputs'!$D$77,IF('Assumptions'!$D$3="Upside",'Town inputs'!$D$78,1)),0)))</x:f>
        <x:v>0</x:v>
      </x:c>
      <x:c r="G222" s="49" t="n">
        <x:f>IF(G217=0,0,MIN(ROUNDUP('Town inputs'!$E$52*IF('Assumptions'!$D$3="Downside",'Town inputs'!$D$77,IF('Assumptions'!$D$3="Upside",'Town inputs'!$D$78,1)),0),ROUNDUP(('Town inputs'!$J$33+(G217-1)*'Town inputs'!$D$52)*IF('Assumptions'!$D$3="Downside",'Town inputs'!$D$77,IF('Assumptions'!$D$3="Upside",'Town inputs'!$D$78,1)),0)))</x:f>
        <x:v>12</x:v>
      </x:c>
      <x:c r="H222" s="49" t="n">
        <x:f>IF(H217=0,0,MIN(ROUNDUP('Town inputs'!$E$52*IF('Assumptions'!$D$3="Downside",'Town inputs'!$D$77,IF('Assumptions'!$D$3="Upside",'Town inputs'!$D$78,1)),0),ROUNDUP(('Town inputs'!$J$33+(H217-1)*'Town inputs'!$D$52)*IF('Assumptions'!$D$3="Downside",'Town inputs'!$D$77,IF('Assumptions'!$D$3="Upside",'Town inputs'!$D$78,1)),0)))</x:f>
        <x:v>24</x:v>
      </x:c>
      <x:c r="I222" s="49" t="n">
        <x:f>IF(I217=0,0,MIN(ROUNDUP('Town inputs'!$E$52*IF('Assumptions'!$D$3="Downside",'Town inputs'!$D$77,IF('Assumptions'!$D$3="Upside",'Town inputs'!$D$78,1)),0),ROUNDUP(('Town inputs'!$J$33+(I217-1)*'Town inputs'!$D$52)*IF('Assumptions'!$D$3="Downside",'Town inputs'!$D$77,IF('Assumptions'!$D$3="Upside",'Town inputs'!$D$78,1)),0)))</x:f>
        <x:v>36</x:v>
      </x:c>
      <x:c r="J222" s="49" t="n">
        <x:f>IF(J217=0,0,MIN(ROUNDUP('Town inputs'!$E$52*IF('Assumptions'!$D$3="Downside",'Town inputs'!$D$77,IF('Assumptions'!$D$3="Upside",'Town inputs'!$D$78,1)),0),ROUNDUP(('Town inputs'!$J$33+(J217-1)*'Town inputs'!$D$52)*IF('Assumptions'!$D$3="Downside",'Town inputs'!$D$77,IF('Assumptions'!$D$3="Upside",'Town inputs'!$D$78,1)),0)))</x:f>
        <x:v>48</x:v>
      </x:c>
      <x:c r="K222" s="1"/>
      <x:c r="L222" s="1"/>
      <x:c r="M222" s="1"/>
    </x:row>
    <x:row r="223" ht="22" customHeight="1">
      <x:c r="A223" s="1"/>
      <x:c r="B223" s="1"/>
      <x:c r="C223" s="1" t="str">
        <x:v>Household capacity</x:v>
      </x:c>
      <x:c r="D223" s="49" t="n">
        <x:f>D222*'Assumptions'!$D$72</x:f>
        <x:v>0</x:v>
      </x:c>
      <x:c r="E223" s="49" t="n">
        <x:f>E222*'Assumptions'!$D$72</x:f>
        <x:v>0</x:v>
      </x:c>
      <x:c r="F223" s="49" t="n">
        <x:f>F222*'Assumptions'!$D$72</x:f>
        <x:v>0</x:v>
      </x:c>
      <x:c r="G223" s="49" t="n">
        <x:f>G222*'Assumptions'!$D$72</x:f>
        <x:v>480</x:v>
      </x:c>
      <x:c r="H223" s="49" t="n">
        <x:f>H222*'Assumptions'!$D$72</x:f>
        <x:v>960</x:v>
      </x:c>
      <x:c r="I223" s="49" t="n">
        <x:f>I222*'Assumptions'!$D$72</x:f>
        <x:v>1440</x:v>
      </x:c>
      <x:c r="J223" s="49" t="n">
        <x:f>J222*'Assumptions'!$D$72</x:f>
        <x:v>1920</x:v>
      </x:c>
      <x:c r="K223" s="1"/>
      <x:c r="L223" s="1"/>
      <x:c r="M223" s="1"/>
    </x:row>
    <x:row r="224" ht="22" customHeight="1">
      <x:c r="A224" s="1"/>
      <x:c r="B224" s="1"/>
      <x:c r="C224" s="1" t="str">
        <x:v>Unconstrained new demand</x:v>
      </x:c>
      <x:c r="D224" s="49" t="n">
        <x:f>MAX(0,D218-D221)*MIN(1,MIN('Town inputs'!$D$65,'Town inputs'!$D$63+MAX(0,D217-1)*'Town inputs'!$D$64)*IF('Assumptions'!$D$3="Downside",'Town inputs'!$D$75,IF('Assumptions'!$D$3="Upside",'Town inputs'!$D$76,1)))</x:f>
        <x:v>0</x:v>
      </x:c>
      <x:c r="E224" s="49" t="n">
        <x:f>MAX(0,E218-E221)*MIN(1,MIN('Town inputs'!$D$65,'Town inputs'!$D$63+MAX(0,E217-1)*'Town inputs'!$D$64)*IF('Assumptions'!$D$3="Downside",'Town inputs'!$D$75,IF('Assumptions'!$D$3="Upside",'Town inputs'!$D$76,1)))</x:f>
        <x:v>0</x:v>
      </x:c>
      <x:c r="F224" s="49" t="n">
        <x:f>MAX(0,F218-F221)*MIN(1,MIN('Town inputs'!$D$65,'Town inputs'!$D$63+MAX(0,F217-1)*'Town inputs'!$D$64)*IF('Assumptions'!$D$3="Downside",'Town inputs'!$D$75,IF('Assumptions'!$D$3="Upside",'Town inputs'!$D$76,1)))</x:f>
        <x:v>0</x:v>
      </x:c>
      <x:c r="G224" s="49" t="n">
        <x:f>MAX(0,G218-G221)*MIN(1,MIN('Town inputs'!$D$65,'Town inputs'!$D$63+MAX(0,G217-1)*'Town inputs'!$D$64)*IF('Assumptions'!$D$3="Downside",'Town inputs'!$D$75,IF('Assumptions'!$D$3="Upside",'Town inputs'!$D$76,1)))</x:f>
        <x:v>671.3565540000001</x:v>
      </x:c>
      <x:c r="H224" s="49" t="n">
        <x:f>MAX(0,H218-H221)*MIN(1,MIN('Town inputs'!$D$65,'Town inputs'!$D$63+MAX(0,H217-1)*'Town inputs'!$D$64)*IF('Assumptions'!$D$3="Downside",'Town inputs'!$D$75,IF('Assumptions'!$D$3="Upside",'Town inputs'!$D$76,1)))</x:f>
        <x:v>791.1956925000001</x:v>
      </x:c>
      <x:c r="I224" s="49" t="n">
        <x:f>MAX(0,I218-I221)*MIN(1,MIN('Town inputs'!$D$65,'Town inputs'!$D$63+MAX(0,I217-1)*'Town inputs'!$D$64)*IF('Assumptions'!$D$3="Downside",'Town inputs'!$D$75,IF('Assumptions'!$D$3="Upside",'Town inputs'!$D$76,1)))</x:f>
        <x:v>880.314831</x:v>
      </x:c>
      <x:c r="J224" s="49" t="n">
        <x:f>MAX(0,J218-J221)*MIN(1,MIN('Town inputs'!$D$65,'Town inputs'!$D$63+MAX(0,J217-1)*'Town inputs'!$D$64)*IF('Assumptions'!$D$3="Downside",'Town inputs'!$D$75,IF('Assumptions'!$D$3="Upside",'Town inputs'!$D$76,1)))</x:f>
        <x:v>932.9539695000002</x:v>
      </x:c>
      <x:c r="K224" s="1"/>
      <x:c r="L224" s="1"/>
      <x:c r="M224" s="1"/>
    </x:row>
    <x:row r="225" ht="22" customHeight="1">
      <x:c r="A225" s="1"/>
      <x:c r="B225" s="1"/>
      <x:c r="C225" s="1" t="str">
        <x:v>New first-time households</x:v>
      </x:c>
      <x:c r="D225" s="11" t="n">
        <x:f>MIN(D224,MAX(0,D223-D220))</x:f>
        <x:v>0</x:v>
      </x:c>
      <x:c r="E225" s="11" t="n">
        <x:f>MIN(E224,MAX(0,E223-E220))</x:f>
        <x:v>0</x:v>
      </x:c>
      <x:c r="F225" s="11" t="n">
        <x:f>MIN(F224,MAX(0,F223-F220))</x:f>
        <x:v>0</x:v>
      </x:c>
      <x:c r="G225" s="11" t="n">
        <x:f>MIN(G224,MAX(0,G223-G220))</x:f>
        <x:v>480</x:v>
      </x:c>
      <x:c r="H225" s="11" t="n">
        <x:f>MIN(H224,MAX(0,H223-H220))</x:f>
        <x:v>576</x:v>
      </x:c>
      <x:c r="I225" s="11" t="n">
        <x:f>MIN(I224,MAX(0,I223-I220))</x:f>
        <x:v>672</x:v>
      </x:c>
      <x:c r="J225" s="11" t="n">
        <x:f>MIN(J224,MAX(0,J223-J220))</x:f>
        <x:v>768</x:v>
      </x:c>
      <x:c r="K225" s="1"/>
      <x:c r="L225" s="1"/>
      <x:c r="M225" s="1"/>
    </x:row>
    <x:row r="226" ht="22" customHeight="1">
      <x:c r="A226" s="1"/>
      <x:c r="B226" s="1"/>
      <x:c r="C226" s="1" t="str">
        <x:v>Ending active households</x:v>
      </x:c>
      <x:c r="D226" s="11" t="n">
        <x:f>D220+D225</x:f>
        <x:v>0</x:v>
      </x:c>
      <x:c r="E226" s="11" t="n">
        <x:f>E220+E225</x:f>
        <x:v>0</x:v>
      </x:c>
      <x:c r="F226" s="11" t="n">
        <x:f>F220+F225</x:f>
        <x:v>0</x:v>
      </x:c>
      <x:c r="G226" s="11" t="n">
        <x:f>G220+G225</x:f>
        <x:v>480</x:v>
      </x:c>
      <x:c r="H226" s="11" t="n">
        <x:f>H220+H225</x:f>
        <x:v>960</x:v>
      </x:c>
      <x:c r="I226" s="11" t="n">
        <x:f>I220+I225</x:f>
        <x:v>1440</x:v>
      </x:c>
      <x:c r="J226" s="11" t="n">
        <x:f>J220+J225</x:f>
        <x:v>1920</x:v>
      </x:c>
      <x:c r="K226" s="1"/>
      <x:c r="L226" s="1"/>
      <x:c r="M226" s="1"/>
    </x:row>
    <x:row r="227" ht="22" customHeight="1">
      <x:c r="A227" s="1"/>
      <x:c r="B227" s="1"/>
      <x:c r="C227" s="1" t="str">
        <x:v>Full-season equivalent households</x:v>
      </x:c>
      <x:c r="D227" s="49" t="n">
        <x:f>D220+D225*'Assumptions'!$D$71</x:f>
        <x:v>0</x:v>
      </x:c>
      <x:c r="E227" s="49" t="n">
        <x:f>E220+E225*'Assumptions'!$D$71</x:f>
        <x:v>0</x:v>
      </x:c>
      <x:c r="F227" s="49" t="n">
        <x:f>F220+F225*'Assumptions'!$D$71</x:f>
        <x:v>0</x:v>
      </x:c>
      <x:c r="G227" s="49" t="n">
        <x:f>G220+G225*'Assumptions'!$D$71</x:f>
        <x:v>240</x:v>
      </x:c>
      <x:c r="H227" s="49" t="n">
        <x:f>H220+H225*'Assumptions'!$D$71</x:f>
        <x:v>672</x:v>
      </x:c>
      <x:c r="I227" s="49" t="n">
        <x:f>I220+I225*'Assumptions'!$D$71</x:f>
        <x:v>1104</x:v>
      </x:c>
      <x:c r="J227" s="49" t="n">
        <x:f>J220+J225*'Assumptions'!$D$71</x:f>
        <x:v>1536</x:v>
      </x:c>
      <x:c r="K227" s="1"/>
      <x:c r="L227" s="1"/>
      <x:c r="M227" s="1"/>
    </x:row>
    <x:row r="228" ht="22" customHeight="1">
      <x:c r="A228" s="1"/>
      <x:c r="B228" s="1"/>
      <x:c r="C228" s="1" t="str">
        <x:v>Cumulative ever-acquired households</x:v>
      </x:c>
      <x:c r="D228" s="11" t="n">
        <x:f>D221+D225</x:f>
        <x:v>0</x:v>
      </x:c>
      <x:c r="E228" s="11" t="n">
        <x:f>E221+E225</x:f>
        <x:v>0</x:v>
      </x:c>
      <x:c r="F228" s="11" t="n">
        <x:f>F221+F225</x:f>
        <x:v>0</x:v>
      </x:c>
      <x:c r="G228" s="11" t="n">
        <x:f>G221+G225</x:f>
        <x:v>480</x:v>
      </x:c>
      <x:c r="H228" s="11" t="n">
        <x:f>H221+H225</x:f>
        <x:v>1056</x:v>
      </x:c>
      <x:c r="I228" s="11" t="n">
        <x:f>I221+I225</x:f>
        <x:v>1728</x:v>
      </x:c>
      <x:c r="J228" s="11" t="n">
        <x:f>J221+J225</x:f>
        <x:v>2496</x:v>
      </x:c>
      <x:c r="K228" s="1"/>
      <x:c r="L228" s="1"/>
      <x:c r="M228" s="1"/>
    </x:row>
    <x:row r="229" ht="22" customHeight="1">
      <x:c r="A229" s="1"/>
      <x:c r="B229" s="1"/>
      <x:c r="C229" s="1" t="str">
        <x:v>Ending payout-active providers</x:v>
      </x:c>
      <x:c r="D229" s="49" t="n">
        <x:f>MIN(D222,ROUNDUP(D226/'Assumptions'!$D$72,0))</x:f>
        <x:v>0</x:v>
      </x:c>
      <x:c r="E229" s="49" t="n">
        <x:f>MIN(E222,ROUNDUP(E226/'Assumptions'!$D$72,0))</x:f>
        <x:v>0</x:v>
      </x:c>
      <x:c r="F229" s="49" t="n">
        <x:f>MIN(F222,ROUNDUP(F226/'Assumptions'!$D$72,0))</x:f>
        <x:v>0</x:v>
      </x:c>
      <x:c r="G229" s="49" t="n">
        <x:f>MIN(G222,ROUNDUP(G226/'Assumptions'!$D$72,0))</x:f>
        <x:v>12</x:v>
      </x:c>
      <x:c r="H229" s="49" t="n">
        <x:f>MIN(H222,ROUNDUP(H226/'Assumptions'!$D$72,0))</x:f>
        <x:v>24</x:v>
      </x:c>
      <x:c r="I229" s="49" t="n">
        <x:f>MIN(I222,ROUNDUP(I226/'Assumptions'!$D$72,0))</x:f>
        <x:v>36</x:v>
      </x:c>
      <x:c r="J229" s="49" t="n">
        <x:f>MIN(J222,ROUNDUP(J226/'Assumptions'!$D$72,0))</x:f>
        <x:v>48</x:v>
      </x:c>
      <x:c r="K229" s="1"/>
      <x:c r="L229" s="1"/>
      <x:c r="M229" s="1"/>
    </x:row>
    <x:row r="230" ht="22" customHeight="1">
      <x:c r="A230" s="1"/>
      <x:c r="B230" s="1"/>
      <x:c r="C230" s="1" t="str">
        <x:v>Retained active providers</x:v>
      </x:c>
      <x:c r="D230" s="11" t="n">
        <x:f>0</x:f>
        <x:v>0</x:v>
      </x:c>
      <x:c r="E230" s="49" t="n">
        <x:f>D229*'Assumptions'!$D$73</x:f>
        <x:v>0</x:v>
      </x:c>
      <x:c r="F230" s="49" t="n">
        <x:f>E229*'Assumptions'!$D$73</x:f>
        <x:v>0</x:v>
      </x:c>
      <x:c r="G230" s="49" t="n">
        <x:f>F229*'Assumptions'!$D$73</x:f>
        <x:v>0</x:v>
      </x:c>
      <x:c r="H230" s="49" t="n">
        <x:f>G229*'Assumptions'!$D$73</x:f>
        <x:v>10.2</x:v>
      </x:c>
      <x:c r="I230" s="49" t="n">
        <x:f>H229*'Assumptions'!$D$73</x:f>
        <x:v>20.4</x:v>
      </x:c>
      <x:c r="J230" s="49" t="n">
        <x:f>I229*'Assumptions'!$D$73</x:f>
        <x:v>30.599999999999998</x:v>
      </x:c>
      <x:c r="K230" s="1"/>
      <x:c r="L230" s="1"/>
      <x:c r="M230" s="1"/>
    </x:row>
    <x:row r="231" ht="22" customHeight="1">
      <x:c r="A231" s="1"/>
      <x:c r="B231" s="1"/>
      <x:c r="C231" s="1" t="str">
        <x:v>New / replacement active providers</x:v>
      </x:c>
      <x:c r="D231" s="11" t="n">
        <x:f>MAX(0,D229-D230)</x:f>
        <x:v>0</x:v>
      </x:c>
      <x:c r="E231" s="11" t="n">
        <x:f>MAX(0,E229-E230)</x:f>
        <x:v>0</x:v>
      </x:c>
      <x:c r="F231" s="11" t="n">
        <x:f>MAX(0,F229-F230)</x:f>
        <x:v>0</x:v>
      </x:c>
      <x:c r="G231" s="11" t="n">
        <x:f>MAX(0,G229-G230)</x:f>
        <x:v>12</x:v>
      </x:c>
      <x:c r="H231" s="11" t="n">
        <x:f>MAX(0,H229-H230)</x:f>
        <x:v>13.8</x:v>
      </x:c>
      <x:c r="I231" s="11" t="n">
        <x:f>MAX(0,I229-I230)</x:f>
        <x:v>15.600000000000001</x:v>
      </x:c>
      <x:c r="J231" s="11" t="n">
        <x:f>MAX(0,J229-J230)</x:f>
        <x:v>17.400000000000002</x:v>
      </x:c>
      <x:c r="K231" s="1"/>
      <x:c r="L231" s="1"/>
      <x:c r="M231" s="1"/>
    </x:row>
    <x:row r="232" ht="22" customHeight="1">
      <x:c r="A232" s="1"/>
      <x:c r="B232" s="1"/>
      <x:c r="C232" s="1" t="str">
        <x:v>Average payout-active providers</x:v>
      </x:c>
      <x:c r="D232" s="49" t="n">
        <x:f>D230+D231*'Assumptions'!$D$71</x:f>
        <x:v>0</x:v>
      </x:c>
      <x:c r="E232" s="49" t="n">
        <x:f>E230+E231*'Assumptions'!$D$71</x:f>
        <x:v>0</x:v>
      </x:c>
      <x:c r="F232" s="49" t="n">
        <x:f>F230+F231*'Assumptions'!$D$71</x:f>
        <x:v>0</x:v>
      </x:c>
      <x:c r="G232" s="49" t="n">
        <x:f>G230+G231*'Assumptions'!$D$71</x:f>
        <x:v>6</x:v>
      </x:c>
      <x:c r="H232" s="49" t="n">
        <x:f>H230+H231*'Assumptions'!$D$71</x:f>
        <x:v>17.1</x:v>
      </x:c>
      <x:c r="I232" s="49" t="n">
        <x:f>I230+I231*'Assumptions'!$D$71</x:f>
        <x:v>28.2</x:v>
      </x:c>
      <x:c r="J232" s="49" t="n">
        <x:f>J230+J231*'Assumptions'!$D$71</x:f>
        <x:v>39.3</x:v>
      </x:c>
      <x:c r="K232" s="1"/>
      <x:c r="L232" s="1"/>
      <x:c r="M232" s="1"/>
    </x:row>
    <x:row r="233" ht="22" customHeight="1">
      <x:c r="A233" s="1"/>
      <x:c r="B233" s="1"/>
      <x:c r="C233" s="1" t="str">
        <x:v>Cash acquisition spend</x:v>
      </x:c>
      <x:c r="D233" s="50" t="n">
        <x:f>D225*'Town inputs'!$F$52*(1-'Town inputs'!$D$66)^0*IF('Assumptions'!$D$3="Downside",'Town inputs'!$D$79,IF('Assumptions'!$D$3="Upside",'Town inputs'!$D$80,1))*(1+('Town inputs'!$D$103/'Town inputs'!$D$104-1)*0/6)</x:f>
        <x:v>0</x:v>
      </x:c>
      <x:c r="E233" s="50" t="n">
        <x:f>E225*'Town inputs'!$F$52*(1-'Town inputs'!$D$66)^1*IF('Assumptions'!$D$3="Downside",'Town inputs'!$D$79,IF('Assumptions'!$D$3="Upside",'Town inputs'!$D$80,1))*(1+('Town inputs'!$D$103/'Town inputs'!$D$104-1)*1/6)</x:f>
        <x:v>0</x:v>
      </x:c>
      <x:c r="F233" s="50" t="n">
        <x:f>F225*'Town inputs'!$F$52*(1-'Town inputs'!$D$66)^2*IF('Assumptions'!$D$3="Downside",'Town inputs'!$D$79,IF('Assumptions'!$D$3="Upside",'Town inputs'!$D$80,1))*(1+('Town inputs'!$D$103/'Town inputs'!$D$104-1)*2/6)</x:f>
        <x:v>0</x:v>
      </x:c>
      <x:c r="G233" s="50" t="n">
        <x:f>G225*'Town inputs'!$F$52*(1-'Town inputs'!$D$66)^3*IF('Assumptions'!$D$3="Downside",'Town inputs'!$D$79,IF('Assumptions'!$D$3="Upside",'Town inputs'!$D$80,1))*(1+('Town inputs'!$D$103/'Town inputs'!$D$104-1)*3/6)</x:f>
        <x:v>25161.345774269896</x:v>
      </x:c>
      <x:c r="H233" s="50" t="n">
        <x:f>H225*'Town inputs'!$F$52*(1-'Town inputs'!$D$66)^4*IF('Assumptions'!$D$3="Downside",'Town inputs'!$D$79,IF('Assumptions'!$D$3="Upside",'Town inputs'!$D$80,1))*(1+('Town inputs'!$D$103/'Town inputs'!$D$104-1)*4/6)</x:f>
        <x:v>28080.20757689024</x:v>
      </x:c>
      <x:c r="I233" s="50" t="n">
        <x:f>I225*'Town inputs'!$F$52*(1-'Town inputs'!$D$66)^5*IF('Assumptions'!$D$3="Downside",'Town inputs'!$D$79,IF('Assumptions'!$D$3="Upside",'Town inputs'!$D$80,1))*(1+('Town inputs'!$D$103/'Town inputs'!$D$104-1)*5/6)</x:f>
        <x:v>30453.099742983355</x:v>
      </x:c>
      <x:c r="J233" s="50" t="n">
        <x:f>J225*'Town inputs'!$F$52*(1-'Town inputs'!$D$66)^6*IF('Assumptions'!$D$3="Downside",'Town inputs'!$D$79,IF('Assumptions'!$D$3="Upside",'Town inputs'!$D$80,1))*(1+('Town inputs'!$D$103/'Town inputs'!$D$104-1)*6/6)</x:f>
        <x:v>32336.88108628689</x:v>
      </x:c>
      <x:c r="K233" s="1"/>
      <x:c r="L233" s="1"/>
      <x:c r="M233" s="1"/>
    </x:row>
    <x:row r="234" ht="22" customHeight="1">
      <x:c r="A234" s="1"/>
      <x:c r="B234" s="1"/>
      <x:c r="C234" s="1" t="str">
        <x:v>Launch spend</x:v>
      </x:c>
      <x:c r="D234" s="50" t="n">
        <x:f>IF(D217=1,'Town inputs'!$G$52*(1+'Town inputs'!$D$67)^0,0)</x:f>
        <x:v>0</x:v>
      </x:c>
      <x:c r="E234" s="50" t="n">
        <x:f>IF(E217=1,'Town inputs'!$G$52*(1+'Town inputs'!$D$67)^1,0)</x:f>
        <x:v>0</x:v>
      </x:c>
      <x:c r="F234" s="50" t="n">
        <x:f>IF(F217=1,'Town inputs'!$G$52*(1+'Town inputs'!$D$67)^2,0)</x:f>
        <x:v>0</x:v>
      </x:c>
      <x:c r="G234" s="50" t="n">
        <x:f>IF(G217=1,'Town inputs'!$G$52*(1+'Town inputs'!$D$67)^3,0)</x:f>
        <x:v>27318.175</x:v>
      </x:c>
      <x:c r="H234" s="50" t="n">
        <x:f>IF(H217=1,'Town inputs'!$G$52*(1+'Town inputs'!$D$67)^4,0)</x:f>
        <x:v>0</x:v>
      </x:c>
      <x:c r="I234" s="50" t="n">
        <x:f>IF(I217=1,'Town inputs'!$G$52*(1+'Town inputs'!$D$67)^5,0)</x:f>
        <x:v>0</x:v>
      </x:c>
      <x:c r="J234" s="50" t="n">
        <x:f>IF(J217=1,'Town inputs'!$G$52*(1+'Town inputs'!$D$67)^6,0)</x:f>
        <x:v>0</x:v>
      </x:c>
      <x:c r="K234" s="1"/>
      <x:c r="L234" s="1"/>
      <x:c r="M234" s="1"/>
    </x:row>
    <x:row r="235" ht="22" customHeight="1">
      <x:c r="A235" s="1"/>
      <x:c r="B235" s="1"/>
      <x:c r="C235" s="1" t="str">
        <x:v>Annual local coverage</x:v>
      </x:c>
      <x:c r="D235" s="50" t="n">
        <x:f>IF(D217&gt;0,'Town inputs'!$H$52*(1+'Town inputs'!$D$67)^0*IF(D217=1,'Assumptions'!$D$71,1),0)</x:f>
        <x:v>0</x:v>
      </x:c>
      <x:c r="E235" s="50" t="n">
        <x:f>IF(E217&gt;0,'Town inputs'!$H$52*(1+'Town inputs'!$D$67)^1*IF(E217=1,'Assumptions'!$D$71,1),0)</x:f>
        <x:v>0</x:v>
      </x:c>
      <x:c r="F235" s="50" t="n">
        <x:f>IF(F217&gt;0,'Town inputs'!$H$52*(1+'Town inputs'!$D$67)^2*IF(F217=1,'Assumptions'!$D$71,1),0)</x:f>
        <x:v>0</x:v>
      </x:c>
      <x:c r="G235" s="50" t="n">
        <x:f>IF(G217&gt;0,'Town inputs'!$H$52*(1+'Town inputs'!$D$67)^3*IF(G217=1,'Assumptions'!$D$71,1),0)</x:f>
        <x:v>5463.635</x:v>
      </x:c>
      <x:c r="H235" s="50" t="n">
        <x:f>IF(H217&gt;0,'Town inputs'!$H$52*(1+'Town inputs'!$D$67)^4*IF(H217=1,'Assumptions'!$D$71,1),0)</x:f>
        <x:v>11255.0881</x:v>
      </x:c>
      <x:c r="I235" s="50" t="n">
        <x:f>IF(I217&gt;0,'Town inputs'!$H$52*(1+'Town inputs'!$D$67)^5*IF(I217=1,'Assumptions'!$D$71,1),0)</x:f>
        <x:v>11592.740743</x:v>
      </x:c>
      <x:c r="J235" s="50" t="n">
        <x:f>IF(J217&gt;0,'Town inputs'!$H$52*(1+'Town inputs'!$D$67)^6*IF(J217=1,'Assumptions'!$D$71,1),0)</x:f>
        <x:v>11940.522965290002</x:v>
      </x:c>
      <x:c r="K235" s="1"/>
      <x:c r="L235" s="1"/>
      <x:c r="M235" s="1"/>
    </x:row>
    <x:row r="236" ht="22" customHeight="1">
      <x:c r="A236" s="1"/>
      <x:c r="B236" s="1"/>
      <x:c r="C236" s="1"/>
      <x:c r="D236" s="6"/>
      <x:c r="E236" s="6"/>
      <x:c r="F236" s="6"/>
      <x:c r="G236" s="6"/>
      <x:c r="H236" s="6"/>
      <x:c r="I236" s="6"/>
      <x:c r="J236" s="6"/>
      <x:c r="K236" s="1"/>
      <x:c r="L236" s="1"/>
      <x:c r="M236" s="1"/>
    </x:row>
    <x:row r="237" ht="22" customHeight="1">
      <x:c r="A237" s="1"/>
      <x:c r="B237" s="1"/>
      <x:c r="C237" s="1"/>
      <x:c r="D237" s="6"/>
      <x:c r="E237" s="6"/>
      <x:c r="F237" s="6"/>
      <x:c r="G237" s="6"/>
      <x:c r="H237" s="6"/>
      <x:c r="I237" s="6"/>
      <x:c r="J237" s="6"/>
      <x:c r="K237" s="1"/>
      <x:c r="L237" s="1"/>
      <x:c r="M237" s="1"/>
    </x:row>
    <x:row r="238" ht="22" customHeight="1">
      <x:c r="A238" s="1"/>
      <x:c r="B238" s="1"/>
      <x:c r="C238" s="5" t="str">
        <x:v>Howell | Monmouth County</x:v>
      </x:c>
      <x:c r="D238" s="26"/>
      <x:c r="E238" s="26"/>
      <x:c r="F238" s="26"/>
      <x:c r="G238" s="26"/>
      <x:c r="H238" s="26"/>
      <x:c r="I238" s="26"/>
      <x:c r="J238" s="26"/>
      <x:c r="K238" s="1"/>
      <x:c r="L238" s="1"/>
      <x:c r="M238" s="1"/>
    </x:row>
    <x:row r="239" ht="22" customHeight="1">
      <x:c r="A239" s="1"/>
      <x:c r="B239" s="1"/>
      <x:c r="C239" s="1" t="str">
        <x:v>Years since launch</x:v>
      </x:c>
      <x:c r="D239" s="49" t="n">
        <x:f>MAX(0,2027-'Town inputs'!$D$34+1)</x:f>
        <x:v>0</x:v>
      </x:c>
      <x:c r="E239" s="49" t="n">
        <x:f>MAX(0,2028-'Town inputs'!$D$34+1)</x:f>
        <x:v>0</x:v>
      </x:c>
      <x:c r="F239" s="49" t="n">
        <x:f>MAX(0,2029-'Town inputs'!$D$34+1)</x:f>
        <x:v>0</x:v>
      </x:c>
      <x:c r="G239" s="49" t="n">
        <x:f>MAX(0,2030-'Town inputs'!$D$34+1)</x:f>
        <x:v>0</x:v>
      </x:c>
      <x:c r="H239" s="49" t="n">
        <x:f>MAX(0,2031-'Town inputs'!$D$34+1)</x:f>
        <x:v>1</x:v>
      </x:c>
      <x:c r="I239" s="49" t="n">
        <x:f>MAX(0,2032-'Town inputs'!$D$34+1)</x:f>
        <x:v>2</x:v>
      </x:c>
      <x:c r="J239" s="49" t="n">
        <x:f>MAX(0,2033-'Town inputs'!$D$34+1)</x:f>
        <x:v>3</x:v>
      </x:c>
      <x:c r="K239" s="1"/>
      <x:c r="L239" s="1"/>
      <x:c r="M239" s="1"/>
    </x:row>
    <x:row r="240" ht="22" customHeight="1">
      <x:c r="A240" s="1"/>
      <x:c r="B240" s="1"/>
      <x:c r="C240" s="1" t="str">
        <x:v>Assumed outsourcing pool</x:v>
      </x:c>
      <x:c r="D240" s="49" t="n">
        <x:f>IF(D239&gt;0,'Town inputs'!$D$15*'Town inputs'!$E$15*'Town inputs'!$E$34*MIN(1,'Town inputs'!$F$34*IF('Assumptions'!$D$3="Downside",'Town inputs'!$D$73,IF('Assumptions'!$D$3="Upside",'Town inputs'!$D$74,1))),0)</x:f>
        <x:v>0</x:v>
      </x:c>
      <x:c r="E240" s="49" t="n">
        <x:f>IF(E239&gt;0,'Town inputs'!$D$15*'Town inputs'!$E$15*'Town inputs'!$E$34*MIN(1,'Town inputs'!$F$34*IF('Assumptions'!$D$3="Downside",'Town inputs'!$D$73,IF('Assumptions'!$D$3="Upside",'Town inputs'!$D$74,1))),0)</x:f>
        <x:v>0</x:v>
      </x:c>
      <x:c r="F240" s="49" t="n">
        <x:f>IF(F239&gt;0,'Town inputs'!$D$15*'Town inputs'!$E$15*'Town inputs'!$E$34*MIN(1,'Town inputs'!$F$34*IF('Assumptions'!$D$3="Downside",'Town inputs'!$D$73,IF('Assumptions'!$D$3="Upside",'Town inputs'!$D$74,1))),0)</x:f>
        <x:v>0</x:v>
      </x:c>
      <x:c r="G240" s="49" t="n">
        <x:f>IF(G239&gt;0,'Town inputs'!$D$15*'Town inputs'!$E$15*'Town inputs'!$E$34*MIN(1,'Town inputs'!$F$34*IF('Assumptions'!$D$3="Downside",'Town inputs'!$D$73,IF('Assumptions'!$D$3="Upside",'Town inputs'!$D$74,1))),0)</x:f>
        <x:v>0</x:v>
      </x:c>
      <x:c r="H240" s="49" t="n">
        <x:f>IF(H239&gt;0,'Town inputs'!$D$15*'Town inputs'!$E$15*'Town inputs'!$E$34*MIN(1,'Town inputs'!$F$34*IF('Assumptions'!$D$3="Downside",'Town inputs'!$D$73,IF('Assumptions'!$D$3="Upside",'Town inputs'!$D$74,1))),0)</x:f>
        <x:v>7943.288760000001</x:v>
      </x:c>
      <x:c r="I240" s="49" t="n">
        <x:f>IF(I239&gt;0,'Town inputs'!$D$15*'Town inputs'!$E$15*'Town inputs'!$E$34*MIN(1,'Town inputs'!$F$34*IF('Assumptions'!$D$3="Downside",'Town inputs'!$D$73,IF('Assumptions'!$D$3="Upside",'Town inputs'!$D$74,1))),0)</x:f>
        <x:v>7943.288760000001</x:v>
      </x:c>
      <x:c r="J240" s="49" t="n">
        <x:f>IF(J239&gt;0,'Town inputs'!$D$15*'Town inputs'!$E$15*'Town inputs'!$E$34*MIN(1,'Town inputs'!$F$34*IF('Assumptions'!$D$3="Downside",'Town inputs'!$D$73,IF('Assumptions'!$D$3="Upside",'Town inputs'!$D$74,1))),0)</x:f>
        <x:v>7943.288760000001</x:v>
      </x:c>
      <x:c r="K240" s="1"/>
      <x:c r="L240" s="1"/>
      <x:c r="M240" s="1"/>
    </x:row>
    <x:row r="241" ht="22" customHeight="1">
      <x:c r="A241" s="1"/>
      <x:c r="B241" s="1"/>
      <x:c r="C241" s="1" t="str">
        <x:v>Opening active households</x:v>
      </x:c>
      <x:c r="D241" s="11" t="n">
        <x:f>0</x:f>
        <x:v>0</x:v>
      </x:c>
      <x:c r="E241" s="11" t="n">
        <x:f>D248</x:f>
        <x:v>0</x:v>
      </x:c>
      <x:c r="F241" s="11" t="n">
        <x:f>E248</x:f>
        <x:v>0</x:v>
      </x:c>
      <x:c r="G241" s="11" t="n">
        <x:f>F248</x:f>
        <x:v>0</x:v>
      </x:c>
      <x:c r="H241" s="11" t="n">
        <x:f>G248</x:f>
        <x:v>0</x:v>
      </x:c>
      <x:c r="I241" s="11" t="n">
        <x:f>H248</x:f>
        <x:v>480</x:v>
      </x:c>
      <x:c r="J241" s="11" t="n">
        <x:f>I248</x:f>
        <x:v>960</x:v>
      </x:c>
      <x:c r="K241" s="1"/>
      <x:c r="L241" s="1"/>
      <x:c r="M241" s="1"/>
    </x:row>
    <x:row r="242" ht="22" customHeight="1">
      <x:c r="A242" s="1"/>
      <x:c r="B242" s="1"/>
      <x:c r="C242" s="1" t="str">
        <x:v>Retained households</x:v>
      </x:c>
      <x:c r="D242" s="49" t="n">
        <x:f>D241*'Assumptions'!D12</x:f>
        <x:v>0</x:v>
      </x:c>
      <x:c r="E242" s="49" t="n">
        <x:f>E241*'Assumptions'!E12</x:f>
        <x:v>0</x:v>
      </x:c>
      <x:c r="F242" s="49" t="n">
        <x:f>F241*'Assumptions'!F12</x:f>
        <x:v>0</x:v>
      </x:c>
      <x:c r="G242" s="49" t="n">
        <x:f>G241*'Assumptions'!G12</x:f>
        <x:v>0</x:v>
      </x:c>
      <x:c r="H242" s="49" t="n">
        <x:f>H241*'Assumptions'!H12</x:f>
        <x:v>0</x:v>
      </x:c>
      <x:c r="I242" s="49" t="n">
        <x:f>I241*'Assumptions'!I12</x:f>
        <x:v>384</x:v>
      </x:c>
      <x:c r="J242" s="49" t="n">
        <x:f>J241*'Assumptions'!J12</x:f>
        <x:v>768</x:v>
      </x:c>
      <x:c r="K242" s="1"/>
      <x:c r="L242" s="1"/>
      <x:c r="M242" s="1"/>
    </x:row>
    <x:row r="243" ht="22" customHeight="1">
      <x:c r="A243" s="1"/>
      <x:c r="B243" s="1"/>
      <x:c r="C243" s="1" t="str">
        <x:v>Previously acquired households</x:v>
      </x:c>
      <x:c r="D243" s="11" t="n">
        <x:f>0</x:f>
        <x:v>0</x:v>
      </x:c>
      <x:c r="E243" s="11" t="n">
        <x:f>D250</x:f>
        <x:v>0</x:v>
      </x:c>
      <x:c r="F243" s="11" t="n">
        <x:f>E250</x:f>
        <x:v>0</x:v>
      </x:c>
      <x:c r="G243" s="11" t="n">
        <x:f>F250</x:f>
        <x:v>0</x:v>
      </x:c>
      <x:c r="H243" s="11" t="n">
        <x:f>G250</x:f>
        <x:v>0</x:v>
      </x:c>
      <x:c r="I243" s="11" t="n">
        <x:f>H250</x:f>
        <x:v>480</x:v>
      </x:c>
      <x:c r="J243" s="11" t="n">
        <x:f>I250</x:f>
        <x:v>1056</x:v>
      </x:c>
      <x:c r="K243" s="1"/>
      <x:c r="L243" s="1"/>
      <x:c r="M243" s="1"/>
    </x:row>
    <x:row r="244" ht="22" customHeight="1">
      <x:c r="A244" s="1"/>
      <x:c r="B244" s="1"/>
      <x:c r="C244" s="1" t="str">
        <x:v>Qualified provider capacity plan</x:v>
      </x:c>
      <x:c r="D244" s="49" t="n">
        <x:f>IF(D239=0,0,MIN(ROUNDUP('Town inputs'!$E$53*IF('Assumptions'!$D$3="Downside",'Town inputs'!$D$77,IF('Assumptions'!$D$3="Upside",'Town inputs'!$D$78,1)),0),ROUNDUP(('Town inputs'!$J$34+(D239-1)*'Town inputs'!$D$53)*IF('Assumptions'!$D$3="Downside",'Town inputs'!$D$77,IF('Assumptions'!$D$3="Upside",'Town inputs'!$D$78,1)),0)))</x:f>
        <x:v>0</x:v>
      </x:c>
      <x:c r="E244" s="49" t="n">
        <x:f>IF(E239=0,0,MIN(ROUNDUP('Town inputs'!$E$53*IF('Assumptions'!$D$3="Downside",'Town inputs'!$D$77,IF('Assumptions'!$D$3="Upside",'Town inputs'!$D$78,1)),0),ROUNDUP(('Town inputs'!$J$34+(E239-1)*'Town inputs'!$D$53)*IF('Assumptions'!$D$3="Downside",'Town inputs'!$D$77,IF('Assumptions'!$D$3="Upside",'Town inputs'!$D$78,1)),0)))</x:f>
        <x:v>0</x:v>
      </x:c>
      <x:c r="F244" s="49" t="n">
        <x:f>IF(F239=0,0,MIN(ROUNDUP('Town inputs'!$E$53*IF('Assumptions'!$D$3="Downside",'Town inputs'!$D$77,IF('Assumptions'!$D$3="Upside",'Town inputs'!$D$78,1)),0),ROUNDUP(('Town inputs'!$J$34+(F239-1)*'Town inputs'!$D$53)*IF('Assumptions'!$D$3="Downside",'Town inputs'!$D$77,IF('Assumptions'!$D$3="Upside",'Town inputs'!$D$78,1)),0)))</x:f>
        <x:v>0</x:v>
      </x:c>
      <x:c r="G244" s="49" t="n">
        <x:f>IF(G239=0,0,MIN(ROUNDUP('Town inputs'!$E$53*IF('Assumptions'!$D$3="Downside",'Town inputs'!$D$77,IF('Assumptions'!$D$3="Upside",'Town inputs'!$D$78,1)),0),ROUNDUP(('Town inputs'!$J$34+(G239-1)*'Town inputs'!$D$53)*IF('Assumptions'!$D$3="Downside",'Town inputs'!$D$77,IF('Assumptions'!$D$3="Upside",'Town inputs'!$D$78,1)),0)))</x:f>
        <x:v>0</x:v>
      </x:c>
      <x:c r="H244" s="49" t="n">
        <x:f>IF(H239=0,0,MIN(ROUNDUP('Town inputs'!$E$53*IF('Assumptions'!$D$3="Downside",'Town inputs'!$D$77,IF('Assumptions'!$D$3="Upside",'Town inputs'!$D$78,1)),0),ROUNDUP(('Town inputs'!$J$34+(H239-1)*'Town inputs'!$D$53)*IF('Assumptions'!$D$3="Downside",'Town inputs'!$D$77,IF('Assumptions'!$D$3="Upside",'Town inputs'!$D$78,1)),0)))</x:f>
        <x:v>12</x:v>
      </x:c>
      <x:c r="I244" s="49" t="n">
        <x:f>IF(I239=0,0,MIN(ROUNDUP('Town inputs'!$E$53*IF('Assumptions'!$D$3="Downside",'Town inputs'!$D$77,IF('Assumptions'!$D$3="Upside",'Town inputs'!$D$78,1)),0),ROUNDUP(('Town inputs'!$J$34+(I239-1)*'Town inputs'!$D$53)*IF('Assumptions'!$D$3="Downside",'Town inputs'!$D$77,IF('Assumptions'!$D$3="Upside",'Town inputs'!$D$78,1)),0)))</x:f>
        <x:v>24</x:v>
      </x:c>
      <x:c r="J244" s="49" t="n">
        <x:f>IF(J239=0,0,MIN(ROUNDUP('Town inputs'!$E$53*IF('Assumptions'!$D$3="Downside",'Town inputs'!$D$77,IF('Assumptions'!$D$3="Upside",'Town inputs'!$D$78,1)),0),ROUNDUP(('Town inputs'!$J$34+(J239-1)*'Town inputs'!$D$53)*IF('Assumptions'!$D$3="Downside",'Town inputs'!$D$77,IF('Assumptions'!$D$3="Upside",'Town inputs'!$D$78,1)),0)))</x:f>
        <x:v>36</x:v>
      </x:c>
      <x:c r="K244" s="1"/>
      <x:c r="L244" s="1"/>
      <x:c r="M244" s="1"/>
    </x:row>
    <x:row r="245" ht="22" customHeight="1">
      <x:c r="A245" s="1"/>
      <x:c r="B245" s="1"/>
      <x:c r="C245" s="1" t="str">
        <x:v>Household capacity</x:v>
      </x:c>
      <x:c r="D245" s="49" t="n">
        <x:f>D244*'Assumptions'!$D$72</x:f>
        <x:v>0</x:v>
      </x:c>
      <x:c r="E245" s="49" t="n">
        <x:f>E244*'Assumptions'!$D$72</x:f>
        <x:v>0</x:v>
      </x:c>
      <x:c r="F245" s="49" t="n">
        <x:f>F244*'Assumptions'!$D$72</x:f>
        <x:v>0</x:v>
      </x:c>
      <x:c r="G245" s="49" t="n">
        <x:f>G244*'Assumptions'!$D$72</x:f>
        <x:v>0</x:v>
      </x:c>
      <x:c r="H245" s="49" t="n">
        <x:f>H244*'Assumptions'!$D$72</x:f>
        <x:v>480</x:v>
      </x:c>
      <x:c r="I245" s="49" t="n">
        <x:f>I244*'Assumptions'!$D$72</x:f>
        <x:v>960</x:v>
      </x:c>
      <x:c r="J245" s="49" t="n">
        <x:f>J244*'Assumptions'!$D$72</x:f>
        <x:v>1440</x:v>
      </x:c>
      <x:c r="K245" s="1"/>
      <x:c r="L245" s="1"/>
      <x:c r="M245" s="1"/>
    </x:row>
    <x:row r="246" ht="22" customHeight="1">
      <x:c r="A246" s="1"/>
      <x:c r="B246" s="1"/>
      <x:c r="C246" s="1" t="str">
        <x:v>Unconstrained new demand</x:v>
      </x:c>
      <x:c r="D246" s="49" t="n">
        <x:f>MAX(0,D240-D243)*MIN(1,MIN('Town inputs'!$D$65,'Town inputs'!$D$63+MAX(0,D239-1)*'Town inputs'!$D$64)*IF('Assumptions'!$D$3="Downside",'Town inputs'!$D$75,IF('Assumptions'!$D$3="Upside",'Town inputs'!$D$76,1)))</x:f>
        <x:v>0</x:v>
      </x:c>
      <x:c r="E246" s="49" t="n">
        <x:f>MAX(0,E240-E243)*MIN(1,MIN('Town inputs'!$D$65,'Town inputs'!$D$63+MAX(0,E239-1)*'Town inputs'!$D$64)*IF('Assumptions'!$D$3="Downside",'Town inputs'!$D$75,IF('Assumptions'!$D$3="Upside",'Town inputs'!$D$76,1)))</x:f>
        <x:v>0</x:v>
      </x:c>
      <x:c r="F246" s="49" t="n">
        <x:f>MAX(0,F240-F243)*MIN(1,MIN('Town inputs'!$D$65,'Town inputs'!$D$63+MAX(0,F239-1)*'Town inputs'!$D$64)*IF('Assumptions'!$D$3="Downside",'Town inputs'!$D$75,IF('Assumptions'!$D$3="Upside",'Town inputs'!$D$76,1)))</x:f>
        <x:v>0</x:v>
      </x:c>
      <x:c r="G246" s="49" t="n">
        <x:f>MAX(0,G240-G243)*MIN(1,MIN('Town inputs'!$D$65,'Town inputs'!$D$63+MAX(0,G239-1)*'Town inputs'!$D$64)*IF('Assumptions'!$D$3="Downside",'Town inputs'!$D$75,IF('Assumptions'!$D$3="Upside",'Town inputs'!$D$76,1)))</x:f>
        <x:v>0</x:v>
      </x:c>
      <x:c r="H246" s="49" t="n">
        <x:f>MAX(0,H240-H243)*MIN(1,MIN('Town inputs'!$D$65,'Town inputs'!$D$63+MAX(0,H239-1)*'Town inputs'!$D$64)*IF('Assumptions'!$D$3="Downside",'Town inputs'!$D$75,IF('Assumptions'!$D$3="Upside",'Town inputs'!$D$76,1)))</x:f>
        <x:v>635.4631008000001</x:v>
      </x:c>
      <x:c r="I246" s="49" t="n">
        <x:f>MAX(0,I240-I243)*MIN(1,MIN('Town inputs'!$D$65,'Town inputs'!$D$63+MAX(0,I239-1)*'Town inputs'!$D$64)*IF('Assumptions'!$D$3="Downside",'Town inputs'!$D$75,IF('Assumptions'!$D$3="Upside",'Town inputs'!$D$76,1)))</x:f>
        <x:v>746.3288760000002</x:v>
      </x:c>
      <x:c r="J246" s="49" t="n">
        <x:f>MAX(0,J240-J243)*MIN(1,MIN('Town inputs'!$D$65,'Town inputs'!$D$63+MAX(0,J239-1)*'Town inputs'!$D$64)*IF('Assumptions'!$D$3="Downside",'Town inputs'!$D$75,IF('Assumptions'!$D$3="Upside",'Town inputs'!$D$76,1)))</x:f>
        <x:v>826.4746512000002</x:v>
      </x:c>
      <x:c r="K246" s="1"/>
      <x:c r="L246" s="1"/>
      <x:c r="M246" s="1"/>
    </x:row>
    <x:row r="247" ht="22" customHeight="1">
      <x:c r="A247" s="1"/>
      <x:c r="B247" s="1"/>
      <x:c r="C247" s="1" t="str">
        <x:v>New first-time households</x:v>
      </x:c>
      <x:c r="D247" s="11" t="n">
        <x:f>MIN(D246,MAX(0,D245-D242))</x:f>
        <x:v>0</x:v>
      </x:c>
      <x:c r="E247" s="11" t="n">
        <x:f>MIN(E246,MAX(0,E245-E242))</x:f>
        <x:v>0</x:v>
      </x:c>
      <x:c r="F247" s="11" t="n">
        <x:f>MIN(F246,MAX(0,F245-F242))</x:f>
        <x:v>0</x:v>
      </x:c>
      <x:c r="G247" s="11" t="n">
        <x:f>MIN(G246,MAX(0,G245-G242))</x:f>
        <x:v>0</x:v>
      </x:c>
      <x:c r="H247" s="11" t="n">
        <x:f>MIN(H246,MAX(0,H245-H242))</x:f>
        <x:v>480</x:v>
      </x:c>
      <x:c r="I247" s="11" t="n">
        <x:f>MIN(I246,MAX(0,I245-I242))</x:f>
        <x:v>576</x:v>
      </x:c>
      <x:c r="J247" s="11" t="n">
        <x:f>MIN(J246,MAX(0,J245-J242))</x:f>
        <x:v>672</x:v>
      </x:c>
      <x:c r="K247" s="1"/>
      <x:c r="L247" s="1"/>
      <x:c r="M247" s="1"/>
    </x:row>
    <x:row r="248" ht="22" customHeight="1">
      <x:c r="A248" s="1"/>
      <x:c r="B248" s="1"/>
      <x:c r="C248" s="1" t="str">
        <x:v>Ending active households</x:v>
      </x:c>
      <x:c r="D248" s="11" t="n">
        <x:f>D242+D247</x:f>
        <x:v>0</x:v>
      </x:c>
      <x:c r="E248" s="11" t="n">
        <x:f>E242+E247</x:f>
        <x:v>0</x:v>
      </x:c>
      <x:c r="F248" s="11" t="n">
        <x:f>F242+F247</x:f>
        <x:v>0</x:v>
      </x:c>
      <x:c r="G248" s="11" t="n">
        <x:f>G242+G247</x:f>
        <x:v>0</x:v>
      </x:c>
      <x:c r="H248" s="11" t="n">
        <x:f>H242+H247</x:f>
        <x:v>480</x:v>
      </x:c>
      <x:c r="I248" s="11" t="n">
        <x:f>I242+I247</x:f>
        <x:v>960</x:v>
      </x:c>
      <x:c r="J248" s="11" t="n">
        <x:f>J242+J247</x:f>
        <x:v>1440</x:v>
      </x:c>
      <x:c r="K248" s="1"/>
      <x:c r="L248" s="1"/>
      <x:c r="M248" s="1"/>
    </x:row>
    <x:row r="249" ht="22" customHeight="1">
      <x:c r="A249" s="1"/>
      <x:c r="B249" s="1"/>
      <x:c r="C249" s="1" t="str">
        <x:v>Full-season equivalent households</x:v>
      </x:c>
      <x:c r="D249" s="49" t="n">
        <x:f>D242+D247*'Assumptions'!$D$71</x:f>
        <x:v>0</x:v>
      </x:c>
      <x:c r="E249" s="49" t="n">
        <x:f>E242+E247*'Assumptions'!$D$71</x:f>
        <x:v>0</x:v>
      </x:c>
      <x:c r="F249" s="49" t="n">
        <x:f>F242+F247*'Assumptions'!$D$71</x:f>
        <x:v>0</x:v>
      </x:c>
      <x:c r="G249" s="49" t="n">
        <x:f>G242+G247*'Assumptions'!$D$71</x:f>
        <x:v>0</x:v>
      </x:c>
      <x:c r="H249" s="49" t="n">
        <x:f>H242+H247*'Assumptions'!$D$71</x:f>
        <x:v>240</x:v>
      </x:c>
      <x:c r="I249" s="49" t="n">
        <x:f>I242+I247*'Assumptions'!$D$71</x:f>
        <x:v>672</x:v>
      </x:c>
      <x:c r="J249" s="49" t="n">
        <x:f>J242+J247*'Assumptions'!$D$71</x:f>
        <x:v>1104</x:v>
      </x:c>
      <x:c r="K249" s="1"/>
      <x:c r="L249" s="1"/>
      <x:c r="M249" s="1"/>
    </x:row>
    <x:row r="250" ht="22" customHeight="1">
      <x:c r="A250" s="1"/>
      <x:c r="B250" s="1"/>
      <x:c r="C250" s="1" t="str">
        <x:v>Cumulative ever-acquired households</x:v>
      </x:c>
      <x:c r="D250" s="11" t="n">
        <x:f>D243+D247</x:f>
        <x:v>0</x:v>
      </x:c>
      <x:c r="E250" s="11" t="n">
        <x:f>E243+E247</x:f>
        <x:v>0</x:v>
      </x:c>
      <x:c r="F250" s="11" t="n">
        <x:f>F243+F247</x:f>
        <x:v>0</x:v>
      </x:c>
      <x:c r="G250" s="11" t="n">
        <x:f>G243+G247</x:f>
        <x:v>0</x:v>
      </x:c>
      <x:c r="H250" s="11" t="n">
        <x:f>H243+H247</x:f>
        <x:v>480</x:v>
      </x:c>
      <x:c r="I250" s="11" t="n">
        <x:f>I243+I247</x:f>
        <x:v>1056</x:v>
      </x:c>
      <x:c r="J250" s="11" t="n">
        <x:f>J243+J247</x:f>
        <x:v>1728</x:v>
      </x:c>
      <x:c r="K250" s="1"/>
      <x:c r="L250" s="1"/>
      <x:c r="M250" s="1"/>
    </x:row>
    <x:row r="251" ht="22" customHeight="1">
      <x:c r="A251" s="1"/>
      <x:c r="B251" s="1"/>
      <x:c r="C251" s="1" t="str">
        <x:v>Ending payout-active providers</x:v>
      </x:c>
      <x:c r="D251" s="49" t="n">
        <x:f>MIN(D244,ROUNDUP(D248/'Assumptions'!$D$72,0))</x:f>
        <x:v>0</x:v>
      </x:c>
      <x:c r="E251" s="49" t="n">
        <x:f>MIN(E244,ROUNDUP(E248/'Assumptions'!$D$72,0))</x:f>
        <x:v>0</x:v>
      </x:c>
      <x:c r="F251" s="49" t="n">
        <x:f>MIN(F244,ROUNDUP(F248/'Assumptions'!$D$72,0))</x:f>
        <x:v>0</x:v>
      </x:c>
      <x:c r="G251" s="49" t="n">
        <x:f>MIN(G244,ROUNDUP(G248/'Assumptions'!$D$72,0))</x:f>
        <x:v>0</x:v>
      </x:c>
      <x:c r="H251" s="49" t="n">
        <x:f>MIN(H244,ROUNDUP(H248/'Assumptions'!$D$72,0))</x:f>
        <x:v>12</x:v>
      </x:c>
      <x:c r="I251" s="49" t="n">
        <x:f>MIN(I244,ROUNDUP(I248/'Assumptions'!$D$72,0))</x:f>
        <x:v>24</x:v>
      </x:c>
      <x:c r="J251" s="49" t="n">
        <x:f>MIN(J244,ROUNDUP(J248/'Assumptions'!$D$72,0))</x:f>
        <x:v>36</x:v>
      </x:c>
      <x:c r="K251" s="1"/>
      <x:c r="L251" s="1"/>
      <x:c r="M251" s="1"/>
    </x:row>
    <x:row r="252" ht="22" customHeight="1">
      <x:c r="A252" s="1"/>
      <x:c r="B252" s="1"/>
      <x:c r="C252" s="1" t="str">
        <x:v>Retained active providers</x:v>
      </x:c>
      <x:c r="D252" s="11" t="n">
        <x:f>0</x:f>
        <x:v>0</x:v>
      </x:c>
      <x:c r="E252" s="49" t="n">
        <x:f>D251*'Assumptions'!$D$73</x:f>
        <x:v>0</x:v>
      </x:c>
      <x:c r="F252" s="49" t="n">
        <x:f>E251*'Assumptions'!$D$73</x:f>
        <x:v>0</x:v>
      </x:c>
      <x:c r="G252" s="49" t="n">
        <x:f>F251*'Assumptions'!$D$73</x:f>
        <x:v>0</x:v>
      </x:c>
      <x:c r="H252" s="49" t="n">
        <x:f>G251*'Assumptions'!$D$73</x:f>
        <x:v>0</x:v>
      </x:c>
      <x:c r="I252" s="49" t="n">
        <x:f>H251*'Assumptions'!$D$73</x:f>
        <x:v>10.2</x:v>
      </x:c>
      <x:c r="J252" s="49" t="n">
        <x:f>I251*'Assumptions'!$D$73</x:f>
        <x:v>20.4</x:v>
      </x:c>
      <x:c r="K252" s="1"/>
      <x:c r="L252" s="1"/>
      <x:c r="M252" s="1"/>
    </x:row>
    <x:row r="253" ht="22" customHeight="1">
      <x:c r="A253" s="1"/>
      <x:c r="B253" s="1"/>
      <x:c r="C253" s="1" t="str">
        <x:v>New / replacement active providers</x:v>
      </x:c>
      <x:c r="D253" s="11" t="n">
        <x:f>MAX(0,D251-D252)</x:f>
        <x:v>0</x:v>
      </x:c>
      <x:c r="E253" s="11" t="n">
        <x:f>MAX(0,E251-E252)</x:f>
        <x:v>0</x:v>
      </x:c>
      <x:c r="F253" s="11" t="n">
        <x:f>MAX(0,F251-F252)</x:f>
        <x:v>0</x:v>
      </x:c>
      <x:c r="G253" s="11" t="n">
        <x:f>MAX(0,G251-G252)</x:f>
        <x:v>0</x:v>
      </x:c>
      <x:c r="H253" s="11" t="n">
        <x:f>MAX(0,H251-H252)</x:f>
        <x:v>12</x:v>
      </x:c>
      <x:c r="I253" s="11" t="n">
        <x:f>MAX(0,I251-I252)</x:f>
        <x:v>13.8</x:v>
      </x:c>
      <x:c r="J253" s="11" t="n">
        <x:f>MAX(0,J251-J252)</x:f>
        <x:v>15.600000000000001</x:v>
      </x:c>
      <x:c r="K253" s="1"/>
      <x:c r="L253" s="1"/>
      <x:c r="M253" s="1"/>
    </x:row>
    <x:row r="254" ht="22" customHeight="1">
      <x:c r="A254" s="1"/>
      <x:c r="B254" s="1"/>
      <x:c r="C254" s="1" t="str">
        <x:v>Average payout-active providers</x:v>
      </x:c>
      <x:c r="D254" s="49" t="n">
        <x:f>D252+D253*'Assumptions'!$D$71</x:f>
        <x:v>0</x:v>
      </x:c>
      <x:c r="E254" s="49" t="n">
        <x:f>E252+E253*'Assumptions'!$D$71</x:f>
        <x:v>0</x:v>
      </x:c>
      <x:c r="F254" s="49" t="n">
        <x:f>F252+F253*'Assumptions'!$D$71</x:f>
        <x:v>0</x:v>
      </x:c>
      <x:c r="G254" s="49" t="n">
        <x:f>G252+G253*'Assumptions'!$D$71</x:f>
        <x:v>0</x:v>
      </x:c>
      <x:c r="H254" s="49" t="n">
        <x:f>H252+H253*'Assumptions'!$D$71</x:f>
        <x:v>6</x:v>
      </x:c>
      <x:c r="I254" s="49" t="n">
        <x:f>I252+I253*'Assumptions'!$D$71</x:f>
        <x:v>17.1</x:v>
      </x:c>
      <x:c r="J254" s="49" t="n">
        <x:f>J252+J253*'Assumptions'!$D$71</x:f>
        <x:v>28.2</x:v>
      </x:c>
      <x:c r="K254" s="1"/>
      <x:c r="L254" s="1"/>
      <x:c r="M254" s="1"/>
    </x:row>
    <x:row r="255" ht="22" customHeight="1">
      <x:c r="A255" s="1"/>
      <x:c r="B255" s="1"/>
      <x:c r="C255" s="1" t="str">
        <x:v>Cash acquisition spend</x:v>
      </x:c>
      <x:c r="D255" s="50" t="n">
        <x:f>D247*'Town inputs'!$F$53*(1-'Town inputs'!$D$66)^0*IF('Assumptions'!$D$3="Downside",'Town inputs'!$D$79,IF('Assumptions'!$D$3="Upside",'Town inputs'!$D$80,1))*(1+('Town inputs'!$D$103/'Town inputs'!$D$104-1)*0/6)</x:f>
        <x:v>0</x:v>
      </x:c>
      <x:c r="E255" s="50" t="n">
        <x:f>E247*'Town inputs'!$F$53*(1-'Town inputs'!$D$66)^1*IF('Assumptions'!$D$3="Downside",'Town inputs'!$D$79,IF('Assumptions'!$D$3="Upside",'Town inputs'!$D$80,1))*(1+('Town inputs'!$D$103/'Town inputs'!$D$104-1)*1/6)</x:f>
        <x:v>0</x:v>
      </x:c>
      <x:c r="F255" s="50" t="n">
        <x:f>F247*'Town inputs'!$F$53*(1-'Town inputs'!$D$66)^2*IF('Assumptions'!$D$3="Downside",'Town inputs'!$D$79,IF('Assumptions'!$D$3="Upside",'Town inputs'!$D$80,1))*(1+('Town inputs'!$D$103/'Town inputs'!$D$104-1)*2/6)</x:f>
        <x:v>0</x:v>
      </x:c>
      <x:c r="G255" s="50" t="n">
        <x:f>G247*'Town inputs'!$F$53*(1-'Town inputs'!$D$66)^3*IF('Assumptions'!$D$3="Downside",'Town inputs'!$D$79,IF('Assumptions'!$D$3="Upside",'Town inputs'!$D$80,1))*(1+('Town inputs'!$D$103/'Town inputs'!$D$104-1)*3/6)</x:f>
        <x:v>0</x:v>
      </x:c>
      <x:c r="H255" s="50" t="n">
        <x:f>H247*'Town inputs'!$F$53*(1-'Town inputs'!$D$66)^4*IF('Assumptions'!$D$3="Downside",'Town inputs'!$D$79,IF('Assumptions'!$D$3="Upside",'Town inputs'!$D$80,1))*(1+('Town inputs'!$D$103/'Town inputs'!$D$104-1)*4/6)</x:f>
        <x:v>23400.17298074187</x:v>
      </x:c>
      <x:c r="I255" s="50" t="n">
        <x:f>I247*'Town inputs'!$F$53*(1-'Town inputs'!$D$66)^5*IF('Assumptions'!$D$3="Downside",'Town inputs'!$D$79,IF('Assumptions'!$D$3="Upside",'Town inputs'!$D$80,1))*(1+('Town inputs'!$D$103/'Town inputs'!$D$104-1)*5/6)</x:f>
        <x:v>26102.656922557162</x:v>
      </x:c>
      <x:c r="J255" s="50" t="n">
        <x:f>J247*'Town inputs'!$F$53*(1-'Town inputs'!$D$66)^6*IF('Assumptions'!$D$3="Downside",'Town inputs'!$D$79,IF('Assumptions'!$D$3="Upside",'Town inputs'!$D$80,1))*(1+('Town inputs'!$D$103/'Town inputs'!$D$104-1)*6/6)</x:f>
        <x:v>28294.770950501024</x:v>
      </x:c>
      <x:c r="K255" s="1"/>
      <x:c r="L255" s="1"/>
      <x:c r="M255" s="1"/>
    </x:row>
    <x:row r="256" ht="22" customHeight="1">
      <x:c r="A256" s="1"/>
      <x:c r="B256" s="1"/>
      <x:c r="C256" s="1" t="str">
        <x:v>Launch spend</x:v>
      </x:c>
      <x:c r="D256" s="50" t="n">
        <x:f>IF(D239=1,'Town inputs'!$G$53*(1+'Town inputs'!$D$67)^0,0)</x:f>
        <x:v>0</x:v>
      </x:c>
      <x:c r="E256" s="50" t="n">
        <x:f>IF(E239=1,'Town inputs'!$G$53*(1+'Town inputs'!$D$67)^1,0)</x:f>
        <x:v>0</x:v>
      </x:c>
      <x:c r="F256" s="50" t="n">
        <x:f>IF(F239=1,'Town inputs'!$G$53*(1+'Town inputs'!$D$67)^2,0)</x:f>
        <x:v>0</x:v>
      </x:c>
      <x:c r="G256" s="50" t="n">
        <x:f>IF(G239=1,'Town inputs'!$G$53*(1+'Town inputs'!$D$67)^3,0)</x:f>
        <x:v>0</x:v>
      </x:c>
      <x:c r="H256" s="50" t="n">
        <x:f>IF(H239=1,'Town inputs'!$G$53*(1+'Town inputs'!$D$67)^4,0)</x:f>
        <x:v>28137.720250000002</x:v>
      </x:c>
      <x:c r="I256" s="50" t="n">
        <x:f>IF(I239=1,'Town inputs'!$G$53*(1+'Town inputs'!$D$67)^5,0)</x:f>
        <x:v>0</x:v>
      </x:c>
      <x:c r="J256" s="50" t="n">
        <x:f>IF(J239=1,'Town inputs'!$G$53*(1+'Town inputs'!$D$67)^6,0)</x:f>
        <x:v>0</x:v>
      </x:c>
      <x:c r="K256" s="1"/>
      <x:c r="L256" s="1"/>
      <x:c r="M256" s="1"/>
    </x:row>
    <x:row r="257" ht="22" customHeight="1">
      <x:c r="A257" s="1"/>
      <x:c r="B257" s="1"/>
      <x:c r="C257" s="1" t="str">
        <x:v>Annual local coverage</x:v>
      </x:c>
      <x:c r="D257" s="50" t="n">
        <x:f>IF(D239&gt;0,'Town inputs'!$H$53*(1+'Town inputs'!$D$67)^0*IF(D239=1,'Assumptions'!$D$71,1),0)</x:f>
        <x:v>0</x:v>
      </x:c>
      <x:c r="E257" s="50" t="n">
        <x:f>IF(E239&gt;0,'Town inputs'!$H$53*(1+'Town inputs'!$D$67)^1*IF(E239=1,'Assumptions'!$D$71,1),0)</x:f>
        <x:v>0</x:v>
      </x:c>
      <x:c r="F257" s="50" t="n">
        <x:f>IF(F239&gt;0,'Town inputs'!$H$53*(1+'Town inputs'!$D$67)^2*IF(F239=1,'Assumptions'!$D$71,1),0)</x:f>
        <x:v>0</x:v>
      </x:c>
      <x:c r="G257" s="50" t="n">
        <x:f>IF(G239&gt;0,'Town inputs'!$H$53*(1+'Town inputs'!$D$67)^3*IF(G239=1,'Assumptions'!$D$71,1),0)</x:f>
        <x:v>0</x:v>
      </x:c>
      <x:c r="H257" s="50" t="n">
        <x:f>IF(H239&gt;0,'Town inputs'!$H$53*(1+'Town inputs'!$D$67)^4*IF(H239=1,'Assumptions'!$D$71,1),0)</x:f>
        <x:v>5627.54405</x:v>
      </x:c>
      <x:c r="I257" s="50" t="n">
        <x:f>IF(I239&gt;0,'Town inputs'!$H$53*(1+'Town inputs'!$D$67)^5*IF(I239=1,'Assumptions'!$D$71,1),0)</x:f>
        <x:v>11592.740743</x:v>
      </x:c>
      <x:c r="J257" s="50" t="n">
        <x:f>IF(J239&gt;0,'Town inputs'!$H$53*(1+'Town inputs'!$D$67)^6*IF(J239=1,'Assumptions'!$D$71,1),0)</x:f>
        <x:v>11940.522965290002</x:v>
      </x:c>
      <x:c r="K257" s="1"/>
      <x:c r="L257" s="1"/>
      <x:c r="M257" s="1"/>
    </x:row>
    <x:row r="258" ht="22" customHeight="1">
      <x:c r="A258" s="1"/>
      <x:c r="B258" s="1"/>
      <x:c r="C258" s="1"/>
      <x:c r="D258" s="6"/>
      <x:c r="E258" s="6"/>
      <x:c r="F258" s="6"/>
      <x:c r="G258" s="6"/>
      <x:c r="H258" s="6"/>
      <x:c r="I258" s="6"/>
      <x:c r="J258" s="6"/>
      <x:c r="K258" s="1"/>
      <x:c r="L258" s="1"/>
      <x:c r="M258" s="1"/>
    </x:row>
    <x:row r="259" ht="22" customHeight="1">
      <x:c r="A259" s="1"/>
      <x:c r="B259" s="1"/>
      <x:c r="C259" s="1"/>
      <x:c r="D259" s="6"/>
      <x:c r="E259" s="6"/>
      <x:c r="F259" s="6"/>
      <x:c r="G259" s="6"/>
      <x:c r="H259" s="6"/>
      <x:c r="I259" s="6"/>
      <x:c r="J259" s="6"/>
      <x:c r="K259" s="1"/>
      <x:c r="L259" s="1"/>
      <x:c r="M259" s="1"/>
    </x:row>
    <x:row r="260" ht="22" customHeight="1">
      <x:c r="A260" s="1"/>
      <x:c r="B260" s="1"/>
      <x:c r="C260" s="5" t="str">
        <x:v>Wall | Monmouth County</x:v>
      </x:c>
      <x:c r="D260" s="26"/>
      <x:c r="E260" s="26"/>
      <x:c r="F260" s="26"/>
      <x:c r="G260" s="26"/>
      <x:c r="H260" s="26"/>
      <x:c r="I260" s="26"/>
      <x:c r="J260" s="26"/>
      <x:c r="K260" s="1"/>
      <x:c r="L260" s="1"/>
      <x:c r="M260" s="1"/>
    </x:row>
    <x:row r="261" ht="22" customHeight="1">
      <x:c r="A261" s="1"/>
      <x:c r="B261" s="1"/>
      <x:c r="C261" s="1" t="str">
        <x:v>Years since launch</x:v>
      </x:c>
      <x:c r="D261" s="49" t="n">
        <x:f>MAX(0,2027-'Town inputs'!$D$35+1)</x:f>
        <x:v>0</x:v>
      </x:c>
      <x:c r="E261" s="49" t="n">
        <x:f>MAX(0,2028-'Town inputs'!$D$35+1)</x:f>
        <x:v>0</x:v>
      </x:c>
      <x:c r="F261" s="49" t="n">
        <x:f>MAX(0,2029-'Town inputs'!$D$35+1)</x:f>
        <x:v>0</x:v>
      </x:c>
      <x:c r="G261" s="49" t="n">
        <x:f>MAX(0,2030-'Town inputs'!$D$35+1)</x:f>
        <x:v>0</x:v>
      </x:c>
      <x:c r="H261" s="49" t="n">
        <x:f>MAX(0,2031-'Town inputs'!$D$35+1)</x:f>
        <x:v>1</x:v>
      </x:c>
      <x:c r="I261" s="49" t="n">
        <x:f>MAX(0,2032-'Town inputs'!$D$35+1)</x:f>
        <x:v>2</x:v>
      </x:c>
      <x:c r="J261" s="49" t="n">
        <x:f>MAX(0,2033-'Town inputs'!$D$35+1)</x:f>
        <x:v>3</x:v>
      </x:c>
      <x:c r="K261" s="1"/>
      <x:c r="L261" s="1"/>
      <x:c r="M261" s="1"/>
    </x:row>
    <x:row r="262" ht="22" customHeight="1">
      <x:c r="A262" s="1"/>
      <x:c r="B262" s="1"/>
      <x:c r="C262" s="1" t="str">
        <x:v>Assumed outsourcing pool</x:v>
      </x:c>
      <x:c r="D262" s="49" t="n">
        <x:f>IF(D261&gt;0,'Town inputs'!$D$16*'Town inputs'!$E$16*'Town inputs'!$E$35*MIN(1,'Town inputs'!$F$35*IF('Assumptions'!$D$3="Downside",'Town inputs'!$D$73,IF('Assumptions'!$D$3="Upside",'Town inputs'!$D$74,1))),0)</x:f>
        <x:v>0</x:v>
      </x:c>
      <x:c r="E262" s="49" t="n">
        <x:f>IF(E261&gt;0,'Town inputs'!$D$16*'Town inputs'!$E$16*'Town inputs'!$E$35*MIN(1,'Town inputs'!$F$35*IF('Assumptions'!$D$3="Downside",'Town inputs'!$D$73,IF('Assumptions'!$D$3="Upside",'Town inputs'!$D$74,1))),0)</x:f>
        <x:v>0</x:v>
      </x:c>
      <x:c r="F262" s="49" t="n">
        <x:f>IF(F261&gt;0,'Town inputs'!$D$16*'Town inputs'!$E$16*'Town inputs'!$E$35*MIN(1,'Town inputs'!$F$35*IF('Assumptions'!$D$3="Downside",'Town inputs'!$D$73,IF('Assumptions'!$D$3="Upside",'Town inputs'!$D$74,1))),0)</x:f>
        <x:v>0</x:v>
      </x:c>
      <x:c r="G262" s="49" t="n">
        <x:f>IF(G261&gt;0,'Town inputs'!$D$16*'Town inputs'!$E$16*'Town inputs'!$E$35*MIN(1,'Town inputs'!$F$35*IF('Assumptions'!$D$3="Downside",'Town inputs'!$D$73,IF('Assumptions'!$D$3="Upside",'Town inputs'!$D$74,1))),0)</x:f>
        <x:v>0</x:v>
      </x:c>
      <x:c r="H262" s="49" t="n">
        <x:f>IF(H261&gt;0,'Town inputs'!$D$16*'Town inputs'!$E$16*'Town inputs'!$E$35*MIN(1,'Town inputs'!$F$35*IF('Assumptions'!$D$3="Downside",'Town inputs'!$D$73,IF('Assumptions'!$D$3="Upside",'Town inputs'!$D$74,1))),0)</x:f>
        <x:v>3715.10304</x:v>
      </x:c>
      <x:c r="I262" s="49" t="n">
        <x:f>IF(I261&gt;0,'Town inputs'!$D$16*'Town inputs'!$E$16*'Town inputs'!$E$35*MIN(1,'Town inputs'!$F$35*IF('Assumptions'!$D$3="Downside",'Town inputs'!$D$73,IF('Assumptions'!$D$3="Upside",'Town inputs'!$D$74,1))),0)</x:f>
        <x:v>3715.10304</x:v>
      </x:c>
      <x:c r="J262" s="49" t="n">
        <x:f>IF(J261&gt;0,'Town inputs'!$D$16*'Town inputs'!$E$16*'Town inputs'!$E$35*MIN(1,'Town inputs'!$F$35*IF('Assumptions'!$D$3="Downside",'Town inputs'!$D$73,IF('Assumptions'!$D$3="Upside",'Town inputs'!$D$74,1))),0)</x:f>
        <x:v>3715.10304</x:v>
      </x:c>
      <x:c r="K262" s="1"/>
      <x:c r="L262" s="1"/>
      <x:c r="M262" s="1"/>
    </x:row>
    <x:row r="263" ht="22" customHeight="1">
      <x:c r="A263" s="1"/>
      <x:c r="B263" s="1"/>
      <x:c r="C263" s="1" t="str">
        <x:v>Opening active households</x:v>
      </x:c>
      <x:c r="D263" s="11" t="n">
        <x:f>0</x:f>
        <x:v>0</x:v>
      </x:c>
      <x:c r="E263" s="11" t="n">
        <x:f>D270</x:f>
        <x:v>0</x:v>
      </x:c>
      <x:c r="F263" s="11" t="n">
        <x:f>E270</x:f>
        <x:v>0</x:v>
      </x:c>
      <x:c r="G263" s="11" t="n">
        <x:f>F270</x:f>
        <x:v>0</x:v>
      </x:c>
      <x:c r="H263" s="11" t="n">
        <x:f>G270</x:f>
        <x:v>0</x:v>
      </x:c>
      <x:c r="I263" s="11" t="n">
        <x:f>H270</x:f>
        <x:v>280</x:v>
      </x:c>
      <x:c r="J263" s="11" t="n">
        <x:f>I270</x:f>
        <x:v>560</x:v>
      </x:c>
      <x:c r="K263" s="1"/>
      <x:c r="L263" s="1"/>
      <x:c r="M263" s="1"/>
    </x:row>
    <x:row r="264" ht="22" customHeight="1">
      <x:c r="A264" s="1"/>
      <x:c r="B264" s="1"/>
      <x:c r="C264" s="1" t="str">
        <x:v>Retained households</x:v>
      </x:c>
      <x:c r="D264" s="49" t="n">
        <x:f>D263*'Assumptions'!D12</x:f>
        <x:v>0</x:v>
      </x:c>
      <x:c r="E264" s="49" t="n">
        <x:f>E263*'Assumptions'!E12</x:f>
        <x:v>0</x:v>
      </x:c>
      <x:c r="F264" s="49" t="n">
        <x:f>F263*'Assumptions'!F12</x:f>
        <x:v>0</x:v>
      </x:c>
      <x:c r="G264" s="49" t="n">
        <x:f>G263*'Assumptions'!G12</x:f>
        <x:v>0</x:v>
      </x:c>
      <x:c r="H264" s="49" t="n">
        <x:f>H263*'Assumptions'!H12</x:f>
        <x:v>0</x:v>
      </x:c>
      <x:c r="I264" s="49" t="n">
        <x:f>I263*'Assumptions'!I12</x:f>
        <x:v>224</x:v>
      </x:c>
      <x:c r="J264" s="49" t="n">
        <x:f>J263*'Assumptions'!J12</x:f>
        <x:v>448</x:v>
      </x:c>
      <x:c r="K264" s="1"/>
      <x:c r="L264" s="1"/>
      <x:c r="M264" s="1"/>
    </x:row>
    <x:row r="265" ht="22" customHeight="1">
      <x:c r="A265" s="1"/>
      <x:c r="B265" s="1"/>
      <x:c r="C265" s="1" t="str">
        <x:v>Previously acquired households</x:v>
      </x:c>
      <x:c r="D265" s="11" t="n">
        <x:f>0</x:f>
        <x:v>0</x:v>
      </x:c>
      <x:c r="E265" s="11" t="n">
        <x:f>D272</x:f>
        <x:v>0</x:v>
      </x:c>
      <x:c r="F265" s="11" t="n">
        <x:f>E272</x:f>
        <x:v>0</x:v>
      </x:c>
      <x:c r="G265" s="11" t="n">
        <x:f>F272</x:f>
        <x:v>0</x:v>
      </x:c>
      <x:c r="H265" s="11" t="n">
        <x:f>G272</x:f>
        <x:v>0</x:v>
      </x:c>
      <x:c r="I265" s="11" t="n">
        <x:f>H272</x:f>
        <x:v>280</x:v>
      </x:c>
      <x:c r="J265" s="11" t="n">
        <x:f>I272</x:f>
        <x:v>616</x:v>
      </x:c>
      <x:c r="K265" s="1"/>
      <x:c r="L265" s="1"/>
      <x:c r="M265" s="1"/>
    </x:row>
    <x:row r="266" ht="22" customHeight="1">
      <x:c r="A266" s="1"/>
      <x:c r="B266" s="1"/>
      <x:c r="C266" s="1" t="str">
        <x:v>Qualified provider capacity plan</x:v>
      </x:c>
      <x:c r="D266" s="49" t="n">
        <x:f>IF(D261=0,0,MIN(ROUNDUP('Town inputs'!$E$54*IF('Assumptions'!$D$3="Downside",'Town inputs'!$D$77,IF('Assumptions'!$D$3="Upside",'Town inputs'!$D$78,1)),0),ROUNDUP(('Town inputs'!$J$35+(D261-1)*'Town inputs'!$D$54)*IF('Assumptions'!$D$3="Downside",'Town inputs'!$D$77,IF('Assumptions'!$D$3="Upside",'Town inputs'!$D$78,1)),0)))</x:f>
        <x:v>0</x:v>
      </x:c>
      <x:c r="E266" s="49" t="n">
        <x:f>IF(E261=0,0,MIN(ROUNDUP('Town inputs'!$E$54*IF('Assumptions'!$D$3="Downside",'Town inputs'!$D$77,IF('Assumptions'!$D$3="Upside",'Town inputs'!$D$78,1)),0),ROUNDUP(('Town inputs'!$J$35+(E261-1)*'Town inputs'!$D$54)*IF('Assumptions'!$D$3="Downside",'Town inputs'!$D$77,IF('Assumptions'!$D$3="Upside",'Town inputs'!$D$78,1)),0)))</x:f>
        <x:v>0</x:v>
      </x:c>
      <x:c r="F266" s="49" t="n">
        <x:f>IF(F261=0,0,MIN(ROUNDUP('Town inputs'!$E$54*IF('Assumptions'!$D$3="Downside",'Town inputs'!$D$77,IF('Assumptions'!$D$3="Upside",'Town inputs'!$D$78,1)),0),ROUNDUP(('Town inputs'!$J$35+(F261-1)*'Town inputs'!$D$54)*IF('Assumptions'!$D$3="Downside",'Town inputs'!$D$77,IF('Assumptions'!$D$3="Upside",'Town inputs'!$D$78,1)),0)))</x:f>
        <x:v>0</x:v>
      </x:c>
      <x:c r="G266" s="49" t="n">
        <x:f>IF(G261=0,0,MIN(ROUNDUP('Town inputs'!$E$54*IF('Assumptions'!$D$3="Downside",'Town inputs'!$D$77,IF('Assumptions'!$D$3="Upside",'Town inputs'!$D$78,1)),0),ROUNDUP(('Town inputs'!$J$35+(G261-1)*'Town inputs'!$D$54)*IF('Assumptions'!$D$3="Downside",'Town inputs'!$D$77,IF('Assumptions'!$D$3="Upside",'Town inputs'!$D$78,1)),0)))</x:f>
        <x:v>0</x:v>
      </x:c>
      <x:c r="H266" s="49" t="n">
        <x:f>IF(H261=0,0,MIN(ROUNDUP('Town inputs'!$E$54*IF('Assumptions'!$D$3="Downside",'Town inputs'!$D$77,IF('Assumptions'!$D$3="Upside",'Town inputs'!$D$78,1)),0),ROUNDUP(('Town inputs'!$J$35+(H261-1)*'Town inputs'!$D$54)*IF('Assumptions'!$D$3="Downside",'Town inputs'!$D$77,IF('Assumptions'!$D$3="Upside",'Town inputs'!$D$78,1)),0)))</x:f>
        <x:v>7</x:v>
      </x:c>
      <x:c r="I266" s="49" t="n">
        <x:f>IF(I261=0,0,MIN(ROUNDUP('Town inputs'!$E$54*IF('Assumptions'!$D$3="Downside",'Town inputs'!$D$77,IF('Assumptions'!$D$3="Upside",'Town inputs'!$D$78,1)),0),ROUNDUP(('Town inputs'!$J$35+(I261-1)*'Town inputs'!$D$54)*IF('Assumptions'!$D$3="Downside",'Town inputs'!$D$77,IF('Assumptions'!$D$3="Upside",'Town inputs'!$D$78,1)),0)))</x:f>
        <x:v>14</x:v>
      </x:c>
      <x:c r="J266" s="49" t="n">
        <x:f>IF(J261=0,0,MIN(ROUNDUP('Town inputs'!$E$54*IF('Assumptions'!$D$3="Downside",'Town inputs'!$D$77,IF('Assumptions'!$D$3="Upside",'Town inputs'!$D$78,1)),0),ROUNDUP(('Town inputs'!$J$35+(J261-1)*'Town inputs'!$D$54)*IF('Assumptions'!$D$3="Downside",'Town inputs'!$D$77,IF('Assumptions'!$D$3="Upside",'Town inputs'!$D$78,1)),0)))</x:f>
        <x:v>21</x:v>
      </x:c>
      <x:c r="K266" s="1"/>
      <x:c r="L266" s="1"/>
      <x:c r="M266" s="1"/>
    </x:row>
    <x:row r="267" ht="22" customHeight="1">
      <x:c r="A267" s="1"/>
      <x:c r="B267" s="1"/>
      <x:c r="C267" s="1" t="str">
        <x:v>Household capacity</x:v>
      </x:c>
      <x:c r="D267" s="49" t="n">
        <x:f>D266*'Assumptions'!$D$72</x:f>
        <x:v>0</x:v>
      </x:c>
      <x:c r="E267" s="49" t="n">
        <x:f>E266*'Assumptions'!$D$72</x:f>
        <x:v>0</x:v>
      </x:c>
      <x:c r="F267" s="49" t="n">
        <x:f>F266*'Assumptions'!$D$72</x:f>
        <x:v>0</x:v>
      </x:c>
      <x:c r="G267" s="49" t="n">
        <x:f>G266*'Assumptions'!$D$72</x:f>
        <x:v>0</x:v>
      </x:c>
      <x:c r="H267" s="49" t="n">
        <x:f>H266*'Assumptions'!$D$72</x:f>
        <x:v>280</x:v>
      </x:c>
      <x:c r="I267" s="49" t="n">
        <x:f>I266*'Assumptions'!$D$72</x:f>
        <x:v>560</x:v>
      </x:c>
      <x:c r="J267" s="49" t="n">
        <x:f>J266*'Assumptions'!$D$72</x:f>
        <x:v>840</x:v>
      </x:c>
      <x:c r="K267" s="1"/>
      <x:c r="L267" s="1"/>
      <x:c r="M267" s="1"/>
    </x:row>
    <x:row r="268" ht="22" customHeight="1">
      <x:c r="A268" s="1"/>
      <x:c r="B268" s="1"/>
      <x:c r="C268" s="1" t="str">
        <x:v>Unconstrained new demand</x:v>
      </x:c>
      <x:c r="D268" s="49" t="n">
        <x:f>MAX(0,D262-D265)*MIN(1,MIN('Town inputs'!$D$65,'Town inputs'!$D$63+MAX(0,D261-1)*'Town inputs'!$D$64)*IF('Assumptions'!$D$3="Downside",'Town inputs'!$D$75,IF('Assumptions'!$D$3="Upside",'Town inputs'!$D$76,1)))</x:f>
        <x:v>0</x:v>
      </x:c>
      <x:c r="E268" s="49" t="n">
        <x:f>MAX(0,E262-E265)*MIN(1,MIN('Town inputs'!$D$65,'Town inputs'!$D$63+MAX(0,E261-1)*'Town inputs'!$D$64)*IF('Assumptions'!$D$3="Downside",'Town inputs'!$D$75,IF('Assumptions'!$D$3="Upside",'Town inputs'!$D$76,1)))</x:f>
        <x:v>0</x:v>
      </x:c>
      <x:c r="F268" s="49" t="n">
        <x:f>MAX(0,F262-F265)*MIN(1,MIN('Town inputs'!$D$65,'Town inputs'!$D$63+MAX(0,F261-1)*'Town inputs'!$D$64)*IF('Assumptions'!$D$3="Downside",'Town inputs'!$D$75,IF('Assumptions'!$D$3="Upside",'Town inputs'!$D$76,1)))</x:f>
        <x:v>0</x:v>
      </x:c>
      <x:c r="G268" s="49" t="n">
        <x:f>MAX(0,G262-G265)*MIN(1,MIN('Town inputs'!$D$65,'Town inputs'!$D$63+MAX(0,G261-1)*'Town inputs'!$D$64)*IF('Assumptions'!$D$3="Downside",'Town inputs'!$D$75,IF('Assumptions'!$D$3="Upside",'Town inputs'!$D$76,1)))</x:f>
        <x:v>0</x:v>
      </x:c>
      <x:c r="H268" s="49" t="n">
        <x:f>MAX(0,H262-H265)*MIN(1,MIN('Town inputs'!$D$65,'Town inputs'!$D$63+MAX(0,H261-1)*'Town inputs'!$D$64)*IF('Assumptions'!$D$3="Downside",'Town inputs'!$D$75,IF('Assumptions'!$D$3="Upside",'Town inputs'!$D$76,1)))</x:f>
        <x:v>297.2082432</x:v>
      </x:c>
      <x:c r="I268" s="49" t="n">
        <x:f>MAX(0,I262-I265)*MIN(1,MIN('Town inputs'!$D$65,'Town inputs'!$D$63+MAX(0,I261-1)*'Town inputs'!$D$64)*IF('Assumptions'!$D$3="Downside",'Town inputs'!$D$75,IF('Assumptions'!$D$3="Upside",'Town inputs'!$D$76,1)))</x:f>
        <x:v>343.510304</x:v>
      </x:c>
      <x:c r="J268" s="49" t="n">
        <x:f>MAX(0,J262-J265)*MIN(1,MIN('Town inputs'!$D$65,'Town inputs'!$D$63+MAX(0,J261-1)*'Town inputs'!$D$64)*IF('Assumptions'!$D$3="Downside",'Town inputs'!$D$75,IF('Assumptions'!$D$3="Upside",'Town inputs'!$D$76,1)))</x:f>
        <x:v>371.8923648</x:v>
      </x:c>
      <x:c r="K268" s="1"/>
      <x:c r="L268" s="1"/>
      <x:c r="M268" s="1"/>
    </x:row>
    <x:row r="269" ht="22" customHeight="1">
      <x:c r="A269" s="1"/>
      <x:c r="B269" s="1"/>
      <x:c r="C269" s="1" t="str">
        <x:v>New first-time households</x:v>
      </x:c>
      <x:c r="D269" s="11" t="n">
        <x:f>MIN(D268,MAX(0,D267-D264))</x:f>
        <x:v>0</x:v>
      </x:c>
      <x:c r="E269" s="11" t="n">
        <x:f>MIN(E268,MAX(0,E267-E264))</x:f>
        <x:v>0</x:v>
      </x:c>
      <x:c r="F269" s="11" t="n">
        <x:f>MIN(F268,MAX(0,F267-F264))</x:f>
        <x:v>0</x:v>
      </x:c>
      <x:c r="G269" s="11" t="n">
        <x:f>MIN(G268,MAX(0,G267-G264))</x:f>
        <x:v>0</x:v>
      </x:c>
      <x:c r="H269" s="11" t="n">
        <x:f>MIN(H268,MAX(0,H267-H264))</x:f>
        <x:v>280</x:v>
      </x:c>
      <x:c r="I269" s="11" t="n">
        <x:f>MIN(I268,MAX(0,I267-I264))</x:f>
        <x:v>336</x:v>
      </x:c>
      <x:c r="J269" s="11" t="n">
        <x:f>MIN(J268,MAX(0,J267-J264))</x:f>
        <x:v>371.8923648</x:v>
      </x:c>
      <x:c r="K269" s="1"/>
      <x:c r="L269" s="1"/>
      <x:c r="M269" s="1"/>
    </x:row>
    <x:row r="270" ht="22" customHeight="1">
      <x:c r="A270" s="1"/>
      <x:c r="B270" s="1"/>
      <x:c r="C270" s="1" t="str">
        <x:v>Ending active households</x:v>
      </x:c>
      <x:c r="D270" s="11" t="n">
        <x:f>D264+D269</x:f>
        <x:v>0</x:v>
      </x:c>
      <x:c r="E270" s="11" t="n">
        <x:f>E264+E269</x:f>
        <x:v>0</x:v>
      </x:c>
      <x:c r="F270" s="11" t="n">
        <x:f>F264+F269</x:f>
        <x:v>0</x:v>
      </x:c>
      <x:c r="G270" s="11" t="n">
        <x:f>G264+G269</x:f>
        <x:v>0</x:v>
      </x:c>
      <x:c r="H270" s="11" t="n">
        <x:f>H264+H269</x:f>
        <x:v>280</x:v>
      </x:c>
      <x:c r="I270" s="11" t="n">
        <x:f>I264+I269</x:f>
        <x:v>560</x:v>
      </x:c>
      <x:c r="J270" s="11" t="n">
        <x:f>J264+J269</x:f>
        <x:v>819.8923648</x:v>
      </x:c>
      <x:c r="K270" s="1"/>
      <x:c r="L270" s="1"/>
      <x:c r="M270" s="1"/>
    </x:row>
    <x:row r="271" ht="22" customHeight="1">
      <x:c r="A271" s="1"/>
      <x:c r="B271" s="1"/>
      <x:c r="C271" s="1" t="str">
        <x:v>Full-season equivalent households</x:v>
      </x:c>
      <x:c r="D271" s="49" t="n">
        <x:f>D264+D269*'Assumptions'!$D$71</x:f>
        <x:v>0</x:v>
      </x:c>
      <x:c r="E271" s="49" t="n">
        <x:f>E264+E269*'Assumptions'!$D$71</x:f>
        <x:v>0</x:v>
      </x:c>
      <x:c r="F271" s="49" t="n">
        <x:f>F264+F269*'Assumptions'!$D$71</x:f>
        <x:v>0</x:v>
      </x:c>
      <x:c r="G271" s="49" t="n">
        <x:f>G264+G269*'Assumptions'!$D$71</x:f>
        <x:v>0</x:v>
      </x:c>
      <x:c r="H271" s="49" t="n">
        <x:f>H264+H269*'Assumptions'!$D$71</x:f>
        <x:v>140</x:v>
      </x:c>
      <x:c r="I271" s="49" t="n">
        <x:f>I264+I269*'Assumptions'!$D$71</x:f>
        <x:v>392</x:v>
      </x:c>
      <x:c r="J271" s="49" t="n">
        <x:f>J264+J269*'Assumptions'!$D$71</x:f>
        <x:v>633.9461824</x:v>
      </x:c>
      <x:c r="K271" s="1"/>
      <x:c r="L271" s="1"/>
      <x:c r="M271" s="1"/>
    </x:row>
    <x:row r="272" ht="22" customHeight="1">
      <x:c r="A272" s="1"/>
      <x:c r="B272" s="1"/>
      <x:c r="C272" s="1" t="str">
        <x:v>Cumulative ever-acquired households</x:v>
      </x:c>
      <x:c r="D272" s="11" t="n">
        <x:f>D265+D269</x:f>
        <x:v>0</x:v>
      </x:c>
      <x:c r="E272" s="11" t="n">
        <x:f>E265+E269</x:f>
        <x:v>0</x:v>
      </x:c>
      <x:c r="F272" s="11" t="n">
        <x:f>F265+F269</x:f>
        <x:v>0</x:v>
      </x:c>
      <x:c r="G272" s="11" t="n">
        <x:f>G265+G269</x:f>
        <x:v>0</x:v>
      </x:c>
      <x:c r="H272" s="11" t="n">
        <x:f>H265+H269</x:f>
        <x:v>280</x:v>
      </x:c>
      <x:c r="I272" s="11" t="n">
        <x:f>I265+I269</x:f>
        <x:v>616</x:v>
      </x:c>
      <x:c r="J272" s="11" t="n">
        <x:f>J265+J269</x:f>
        <x:v>987.8923648</x:v>
      </x:c>
      <x:c r="K272" s="1"/>
      <x:c r="L272" s="1"/>
      <x:c r="M272" s="1"/>
    </x:row>
    <x:row r="273" ht="22" customHeight="1">
      <x:c r="A273" s="1"/>
      <x:c r="B273" s="1"/>
      <x:c r="C273" s="1" t="str">
        <x:v>Ending payout-active providers</x:v>
      </x:c>
      <x:c r="D273" s="49" t="n">
        <x:f>MIN(D266,ROUNDUP(D270/'Assumptions'!$D$72,0))</x:f>
        <x:v>0</x:v>
      </x:c>
      <x:c r="E273" s="49" t="n">
        <x:f>MIN(E266,ROUNDUP(E270/'Assumptions'!$D$72,0))</x:f>
        <x:v>0</x:v>
      </x:c>
      <x:c r="F273" s="49" t="n">
        <x:f>MIN(F266,ROUNDUP(F270/'Assumptions'!$D$72,0))</x:f>
        <x:v>0</x:v>
      </x:c>
      <x:c r="G273" s="49" t="n">
        <x:f>MIN(G266,ROUNDUP(G270/'Assumptions'!$D$72,0))</x:f>
        <x:v>0</x:v>
      </x:c>
      <x:c r="H273" s="49" t="n">
        <x:f>MIN(H266,ROUNDUP(H270/'Assumptions'!$D$72,0))</x:f>
        <x:v>7</x:v>
      </x:c>
      <x:c r="I273" s="49" t="n">
        <x:f>MIN(I266,ROUNDUP(I270/'Assumptions'!$D$72,0))</x:f>
        <x:v>14</x:v>
      </x:c>
      <x:c r="J273" s="49" t="n">
        <x:f>MIN(J266,ROUNDUP(J270/'Assumptions'!$D$72,0))</x:f>
        <x:v>21</x:v>
      </x:c>
      <x:c r="K273" s="1"/>
      <x:c r="L273" s="1"/>
      <x:c r="M273" s="1"/>
    </x:row>
    <x:row r="274" ht="22" customHeight="1">
      <x:c r="A274" s="1"/>
      <x:c r="B274" s="1"/>
      <x:c r="C274" s="1" t="str">
        <x:v>Retained active providers</x:v>
      </x:c>
      <x:c r="D274" s="11" t="n">
        <x:f>0</x:f>
        <x:v>0</x:v>
      </x:c>
      <x:c r="E274" s="49" t="n">
        <x:f>D273*'Assumptions'!$D$73</x:f>
        <x:v>0</x:v>
      </x:c>
      <x:c r="F274" s="49" t="n">
        <x:f>E273*'Assumptions'!$D$73</x:f>
        <x:v>0</x:v>
      </x:c>
      <x:c r="G274" s="49" t="n">
        <x:f>F273*'Assumptions'!$D$73</x:f>
        <x:v>0</x:v>
      </x:c>
      <x:c r="H274" s="49" t="n">
        <x:f>G273*'Assumptions'!$D$73</x:f>
        <x:v>0</x:v>
      </x:c>
      <x:c r="I274" s="49" t="n">
        <x:f>H273*'Assumptions'!$D$73</x:f>
        <x:v>5.95</x:v>
      </x:c>
      <x:c r="J274" s="49" t="n">
        <x:f>I273*'Assumptions'!$D$73</x:f>
        <x:v>11.9</x:v>
      </x:c>
      <x:c r="K274" s="1"/>
      <x:c r="L274" s="1"/>
      <x:c r="M274" s="1"/>
    </x:row>
    <x:row r="275" ht="22" customHeight="1">
      <x:c r="A275" s="1"/>
      <x:c r="B275" s="1"/>
      <x:c r="C275" s="1" t="str">
        <x:v>New / replacement active providers</x:v>
      </x:c>
      <x:c r="D275" s="11" t="n">
        <x:f>MAX(0,D273-D274)</x:f>
        <x:v>0</x:v>
      </x:c>
      <x:c r="E275" s="11" t="n">
        <x:f>MAX(0,E273-E274)</x:f>
        <x:v>0</x:v>
      </x:c>
      <x:c r="F275" s="11" t="n">
        <x:f>MAX(0,F273-F274)</x:f>
        <x:v>0</x:v>
      </x:c>
      <x:c r="G275" s="11" t="n">
        <x:f>MAX(0,G273-G274)</x:f>
        <x:v>0</x:v>
      </x:c>
      <x:c r="H275" s="11" t="n">
        <x:f>MAX(0,H273-H274)</x:f>
        <x:v>7</x:v>
      </x:c>
      <x:c r="I275" s="11" t="n">
        <x:f>MAX(0,I273-I274)</x:f>
        <x:v>8.05</x:v>
      </x:c>
      <x:c r="J275" s="11" t="n">
        <x:f>MAX(0,J273-J274)</x:f>
        <x:v>9.1</x:v>
      </x:c>
      <x:c r="K275" s="1"/>
      <x:c r="L275" s="1"/>
      <x:c r="M275" s="1"/>
    </x:row>
    <x:row r="276" ht="22" customHeight="1">
      <x:c r="A276" s="1"/>
      <x:c r="B276" s="1"/>
      <x:c r="C276" s="1" t="str">
        <x:v>Average payout-active providers</x:v>
      </x:c>
      <x:c r="D276" s="49" t="n">
        <x:f>D274+D275*'Assumptions'!$D$71</x:f>
        <x:v>0</x:v>
      </x:c>
      <x:c r="E276" s="49" t="n">
        <x:f>E274+E275*'Assumptions'!$D$71</x:f>
        <x:v>0</x:v>
      </x:c>
      <x:c r="F276" s="49" t="n">
        <x:f>F274+F275*'Assumptions'!$D$71</x:f>
        <x:v>0</x:v>
      </x:c>
      <x:c r="G276" s="49" t="n">
        <x:f>G274+G275*'Assumptions'!$D$71</x:f>
        <x:v>0</x:v>
      </x:c>
      <x:c r="H276" s="49" t="n">
        <x:f>H274+H275*'Assumptions'!$D$71</x:f>
        <x:v>3.5</x:v>
      </x:c>
      <x:c r="I276" s="49" t="n">
        <x:f>I274+I275*'Assumptions'!$D$71</x:f>
        <x:v>9.975000000000001</x:v>
      </x:c>
      <x:c r="J276" s="49" t="n">
        <x:f>J274+J275*'Assumptions'!$D$71</x:f>
        <x:v>16.45</x:v>
      </x:c>
      <x:c r="K276" s="1"/>
      <x:c r="L276" s="1"/>
      <x:c r="M276" s="1"/>
    </x:row>
    <x:row r="277" ht="22" customHeight="1">
      <x:c r="A277" s="1"/>
      <x:c r="B277" s="1"/>
      <x:c r="C277" s="1" t="str">
        <x:v>Cash acquisition spend</x:v>
      </x:c>
      <x:c r="D277" s="50" t="n">
        <x:f>D269*'Town inputs'!$F$54*(1-'Town inputs'!$D$66)^0*IF('Assumptions'!$D$3="Downside",'Town inputs'!$D$79,IF('Assumptions'!$D$3="Upside",'Town inputs'!$D$80,1))*(1+('Town inputs'!$D$103/'Town inputs'!$D$104-1)*0/6)</x:f>
        <x:v>0</x:v>
      </x:c>
      <x:c r="E277" s="50" t="n">
        <x:f>E269*'Town inputs'!$F$54*(1-'Town inputs'!$D$66)^1*IF('Assumptions'!$D$3="Downside",'Town inputs'!$D$79,IF('Assumptions'!$D$3="Upside",'Town inputs'!$D$80,1))*(1+('Town inputs'!$D$103/'Town inputs'!$D$104-1)*1/6)</x:f>
        <x:v>0</x:v>
      </x:c>
      <x:c r="F277" s="50" t="n">
        <x:f>F269*'Town inputs'!$F$54*(1-'Town inputs'!$D$66)^2*IF('Assumptions'!$D$3="Downside",'Town inputs'!$D$79,IF('Assumptions'!$D$3="Upside",'Town inputs'!$D$80,1))*(1+('Town inputs'!$D$103/'Town inputs'!$D$104-1)*2/6)</x:f>
        <x:v>0</x:v>
      </x:c>
      <x:c r="G277" s="50" t="n">
        <x:f>G269*'Town inputs'!$F$54*(1-'Town inputs'!$D$66)^3*IF('Assumptions'!$D$3="Downside",'Town inputs'!$D$79,IF('Assumptions'!$D$3="Upside",'Town inputs'!$D$80,1))*(1+('Town inputs'!$D$103/'Town inputs'!$D$104-1)*3/6)</x:f>
        <x:v>0</x:v>
      </x:c>
      <x:c r="H277" s="50" t="n">
        <x:f>H269*'Town inputs'!$F$54*(1-'Town inputs'!$D$66)^4*IF('Assumptions'!$D$3="Downside",'Town inputs'!$D$79,IF('Assumptions'!$D$3="Upside",'Town inputs'!$D$80,1))*(1+('Town inputs'!$D$103/'Town inputs'!$D$104-1)*4/6)</x:f>
        <x:v>13650.100905432757</x:v>
      </x:c>
      <x:c r="I277" s="50" t="n">
        <x:f>I269*'Town inputs'!$F$54*(1-'Town inputs'!$D$66)^5*IF('Assumptions'!$D$3="Downside",'Town inputs'!$D$79,IF('Assumptions'!$D$3="Upside",'Town inputs'!$D$80,1))*(1+('Town inputs'!$D$103/'Town inputs'!$D$104-1)*5/6)</x:f>
        <x:v>15226.549871491678</x:v>
      </x:c>
      <x:c r="J277" s="50" t="n">
        <x:f>J269*'Town inputs'!$F$54*(1-'Town inputs'!$D$66)^6*IF('Assumptions'!$D$3="Downside",'Town inputs'!$D$79,IF('Assumptions'!$D$3="Upside",'Town inputs'!$D$80,1))*(1+('Town inputs'!$D$103/'Town inputs'!$D$104-1)*6/6)</x:f>
        <x:v>15658.644762285965</x:v>
      </x:c>
      <x:c r="K277" s="1"/>
      <x:c r="L277" s="1"/>
      <x:c r="M277" s="1"/>
    </x:row>
    <x:row r="278" ht="22" customHeight="1">
      <x:c r="A278" s="1"/>
      <x:c r="B278" s="1"/>
      <x:c r="C278" s="1" t="str">
        <x:v>Launch spend</x:v>
      </x:c>
      <x:c r="D278" s="50" t="n">
        <x:f>IF(D261=1,'Town inputs'!$G$54*(1+'Town inputs'!$D$67)^0,0)</x:f>
        <x:v>0</x:v>
      </x:c>
      <x:c r="E278" s="50" t="n">
        <x:f>IF(E261=1,'Town inputs'!$G$54*(1+'Town inputs'!$D$67)^1,0)</x:f>
        <x:v>0</x:v>
      </x:c>
      <x:c r="F278" s="50" t="n">
        <x:f>IF(F261=1,'Town inputs'!$G$54*(1+'Town inputs'!$D$67)^2,0)</x:f>
        <x:v>0</x:v>
      </x:c>
      <x:c r="G278" s="50" t="n">
        <x:f>IF(G261=1,'Town inputs'!$G$54*(1+'Town inputs'!$D$67)^3,0)</x:f>
        <x:v>0</x:v>
      </x:c>
      <x:c r="H278" s="50" t="n">
        <x:f>IF(H261=1,'Town inputs'!$G$54*(1+'Town inputs'!$D$67)^4,0)</x:f>
        <x:v>22510.1762</x:v>
      </x:c>
      <x:c r="I278" s="50" t="n">
        <x:f>IF(I261=1,'Town inputs'!$G$54*(1+'Town inputs'!$D$67)^5,0)</x:f>
        <x:v>0</x:v>
      </x:c>
      <x:c r="J278" s="50" t="n">
        <x:f>IF(J261=1,'Town inputs'!$G$54*(1+'Town inputs'!$D$67)^6,0)</x:f>
        <x:v>0</x:v>
      </x:c>
      <x:c r="K278" s="1"/>
      <x:c r="L278" s="1"/>
      <x:c r="M278" s="1"/>
    </x:row>
    <x:row r="279" ht="22" customHeight="1">
      <x:c r="A279" s="1"/>
      <x:c r="B279" s="1"/>
      <x:c r="C279" s="1" t="str">
        <x:v>Annual local coverage</x:v>
      </x:c>
      <x:c r="D279" s="50" t="n">
        <x:f>IF(D261&gt;0,'Town inputs'!$H$54*(1+'Town inputs'!$D$67)^0*IF(D261=1,'Assumptions'!$D$71,1),0)</x:f>
        <x:v>0</x:v>
      </x:c>
      <x:c r="E279" s="50" t="n">
        <x:f>IF(E261&gt;0,'Town inputs'!$H$54*(1+'Town inputs'!$D$67)^1*IF(E261=1,'Assumptions'!$D$71,1),0)</x:f>
        <x:v>0</x:v>
      </x:c>
      <x:c r="F279" s="50" t="n">
        <x:f>IF(F261&gt;0,'Town inputs'!$H$54*(1+'Town inputs'!$D$67)^2*IF(F261=1,'Assumptions'!$D$71,1),0)</x:f>
        <x:v>0</x:v>
      </x:c>
      <x:c r="G279" s="50" t="n">
        <x:f>IF(G261&gt;0,'Town inputs'!$H$54*(1+'Town inputs'!$D$67)^3*IF(G261=1,'Assumptions'!$D$71,1),0)</x:f>
        <x:v>0</x:v>
      </x:c>
      <x:c r="H279" s="50" t="n">
        <x:f>IF(H261&gt;0,'Town inputs'!$H$54*(1+'Town inputs'!$D$67)^4*IF(H261=1,'Assumptions'!$D$71,1),0)</x:f>
        <x:v>4502.03524</x:v>
      </x:c>
      <x:c r="I279" s="50" t="n">
        <x:f>IF(I261&gt;0,'Town inputs'!$H$54*(1+'Town inputs'!$D$67)^5*IF(I261=1,'Assumptions'!$D$71,1),0)</x:f>
        <x:v>9274.192594400001</x:v>
      </x:c>
      <x:c r="J279" s="50" t="n">
        <x:f>IF(J261&gt;0,'Town inputs'!$H$54*(1+'Town inputs'!$D$67)^6*IF(J261=1,'Assumptions'!$D$71,1),0)</x:f>
        <x:v>9552.418372232001</x:v>
      </x:c>
      <x:c r="K279" s="1"/>
      <x:c r="L279" s="1"/>
      <x:c r="M279" s="1"/>
    </x:row>
    <x:row r="280" ht="22" customHeight="1">
      <x:c r="A280" s="1"/>
      <x:c r="B280" s="1"/>
      <x:c r="C280" s="1"/>
      <x:c r="D280" s="6"/>
      <x:c r="E280" s="6"/>
      <x:c r="F280" s="6"/>
      <x:c r="G280" s="6"/>
      <x:c r="H280" s="6"/>
      <x:c r="I280" s="6"/>
      <x:c r="J280" s="6"/>
      <x:c r="K280" s="1"/>
      <x:c r="L280" s="1"/>
      <x:c r="M280" s="1"/>
    </x:row>
    <x:row r="281" ht="22" customHeight="1">
      <x:c r="A281" s="1"/>
      <x:c r="B281" s="1"/>
      <x:c r="C281" s="1"/>
      <x:c r="D281" s="6"/>
      <x:c r="E281" s="6"/>
      <x:c r="F281" s="6"/>
      <x:c r="G281" s="6"/>
      <x:c r="H281" s="6"/>
      <x:c r="I281" s="6"/>
      <x:c r="J281" s="6"/>
      <x:c r="K281" s="1"/>
      <x:c r="L281" s="1"/>
      <x:c r="M281" s="1"/>
    </x:row>
    <x:row r="282" ht="22" customHeight="1">
      <x:c r="A282" s="1"/>
      <x:c r="B282" s="1"/>
      <x:c r="C282" s="5" t="str">
        <x:v>Middletown | Monmouth County</x:v>
      </x:c>
      <x:c r="D282" s="26"/>
      <x:c r="E282" s="26"/>
      <x:c r="F282" s="26"/>
      <x:c r="G282" s="26"/>
      <x:c r="H282" s="26"/>
      <x:c r="I282" s="26"/>
      <x:c r="J282" s="26"/>
      <x:c r="K282" s="1"/>
      <x:c r="L282" s="1"/>
      <x:c r="M282" s="1"/>
    </x:row>
    <x:row r="283" ht="22" customHeight="1">
      <x:c r="A283" s="1"/>
      <x:c r="B283" s="1"/>
      <x:c r="C283" s="1" t="str">
        <x:v>Years since launch</x:v>
      </x:c>
      <x:c r="D283" s="49" t="n">
        <x:f>MAX(0,2027-'Town inputs'!$D$36+1)</x:f>
        <x:v>0</x:v>
      </x:c>
      <x:c r="E283" s="49" t="n">
        <x:f>MAX(0,2028-'Town inputs'!$D$36+1)</x:f>
        <x:v>0</x:v>
      </x:c>
      <x:c r="F283" s="49" t="n">
        <x:f>MAX(0,2029-'Town inputs'!$D$36+1)</x:f>
        <x:v>0</x:v>
      </x:c>
      <x:c r="G283" s="49" t="n">
        <x:f>MAX(0,2030-'Town inputs'!$D$36+1)</x:f>
        <x:v>0</x:v>
      </x:c>
      <x:c r="H283" s="49" t="n">
        <x:f>MAX(0,2031-'Town inputs'!$D$36+1)</x:f>
        <x:v>0</x:v>
      </x:c>
      <x:c r="I283" s="49" t="n">
        <x:f>MAX(0,2032-'Town inputs'!$D$36+1)</x:f>
        <x:v>1</x:v>
      </x:c>
      <x:c r="J283" s="49" t="n">
        <x:f>MAX(0,2033-'Town inputs'!$D$36+1)</x:f>
        <x:v>2</x:v>
      </x:c>
      <x:c r="K283" s="1"/>
      <x:c r="L283" s="1"/>
      <x:c r="M283" s="1"/>
    </x:row>
    <x:row r="284" ht="22" customHeight="1">
      <x:c r="A284" s="1"/>
      <x:c r="B284" s="1"/>
      <x:c r="C284" s="1" t="str">
        <x:v>Assumed outsourcing pool</x:v>
      </x:c>
      <x:c r="D284" s="49" t="n">
        <x:f>IF(D283&gt;0,'Town inputs'!$D$17*'Town inputs'!$E$17*'Town inputs'!$E$36*MIN(1,'Town inputs'!$F$36*IF('Assumptions'!$D$3="Downside",'Town inputs'!$D$73,IF('Assumptions'!$D$3="Upside",'Town inputs'!$D$74,1))),0)</x:f>
        <x:v>0</x:v>
      </x:c>
      <x:c r="E284" s="49" t="n">
        <x:f>IF(E283&gt;0,'Town inputs'!$D$17*'Town inputs'!$E$17*'Town inputs'!$E$36*MIN(1,'Town inputs'!$F$36*IF('Assumptions'!$D$3="Downside",'Town inputs'!$D$73,IF('Assumptions'!$D$3="Upside",'Town inputs'!$D$74,1))),0)</x:f>
        <x:v>0</x:v>
      </x:c>
      <x:c r="F284" s="49" t="n">
        <x:f>IF(F283&gt;0,'Town inputs'!$D$17*'Town inputs'!$E$17*'Town inputs'!$E$36*MIN(1,'Town inputs'!$F$36*IF('Assumptions'!$D$3="Downside",'Town inputs'!$D$73,IF('Assumptions'!$D$3="Upside",'Town inputs'!$D$74,1))),0)</x:f>
        <x:v>0</x:v>
      </x:c>
      <x:c r="G284" s="49" t="n">
        <x:f>IF(G283&gt;0,'Town inputs'!$D$17*'Town inputs'!$E$17*'Town inputs'!$E$36*MIN(1,'Town inputs'!$F$36*IF('Assumptions'!$D$3="Downside",'Town inputs'!$D$73,IF('Assumptions'!$D$3="Upside",'Town inputs'!$D$74,1))),0)</x:f>
        <x:v>0</x:v>
      </x:c>
      <x:c r="H284" s="49" t="n">
        <x:f>IF(H283&gt;0,'Town inputs'!$D$17*'Town inputs'!$E$17*'Town inputs'!$E$36*MIN(1,'Town inputs'!$F$36*IF('Assumptions'!$D$3="Downside",'Town inputs'!$D$73,IF('Assumptions'!$D$3="Upside",'Town inputs'!$D$74,1))),0)</x:f>
        <x:v>0</x:v>
      </x:c>
      <x:c r="I284" s="49" t="n">
        <x:f>IF(I283&gt;0,'Town inputs'!$D$17*'Town inputs'!$E$17*'Town inputs'!$E$36*MIN(1,'Town inputs'!$F$36*IF('Assumptions'!$D$3="Downside",'Town inputs'!$D$73,IF('Assumptions'!$D$3="Upside",'Town inputs'!$D$74,1))),0)</x:f>
        <x:v>9506.563880000003</x:v>
      </x:c>
      <x:c r="J284" s="49" t="n">
        <x:f>IF(J283&gt;0,'Town inputs'!$D$17*'Town inputs'!$E$17*'Town inputs'!$E$36*MIN(1,'Town inputs'!$F$36*IF('Assumptions'!$D$3="Downside",'Town inputs'!$D$73,IF('Assumptions'!$D$3="Upside",'Town inputs'!$D$74,1))),0)</x:f>
        <x:v>9506.563880000003</x:v>
      </x:c>
      <x:c r="K284" s="1"/>
      <x:c r="L284" s="1"/>
      <x:c r="M284" s="1"/>
    </x:row>
    <x:row r="285" ht="22" customHeight="1">
      <x:c r="A285" s="1"/>
      <x:c r="B285" s="1"/>
      <x:c r="C285" s="1" t="str">
        <x:v>Opening active households</x:v>
      </x:c>
      <x:c r="D285" s="11" t="n">
        <x:f>0</x:f>
        <x:v>0</x:v>
      </x:c>
      <x:c r="E285" s="11" t="n">
        <x:f>D292</x:f>
        <x:v>0</x:v>
      </x:c>
      <x:c r="F285" s="11" t="n">
        <x:f>E292</x:f>
        <x:v>0</x:v>
      </x:c>
      <x:c r="G285" s="11" t="n">
        <x:f>F292</x:f>
        <x:v>0</x:v>
      </x:c>
      <x:c r="H285" s="11" t="n">
        <x:f>G292</x:f>
        <x:v>0</x:v>
      </x:c>
      <x:c r="I285" s="11" t="n">
        <x:f>H292</x:f>
        <x:v>0</x:v>
      </x:c>
      <x:c r="J285" s="11" t="n">
        <x:f>I292</x:f>
        <x:v>560</x:v>
      </x:c>
      <x:c r="K285" s="1"/>
      <x:c r="L285" s="1"/>
      <x:c r="M285" s="1"/>
    </x:row>
    <x:row r="286" ht="22" customHeight="1">
      <x:c r="A286" s="1"/>
      <x:c r="B286" s="1"/>
      <x:c r="C286" s="1" t="str">
        <x:v>Retained households</x:v>
      </x:c>
      <x:c r="D286" s="49" t="n">
        <x:f>D285*'Assumptions'!D12</x:f>
        <x:v>0</x:v>
      </x:c>
      <x:c r="E286" s="49" t="n">
        <x:f>E285*'Assumptions'!E12</x:f>
        <x:v>0</x:v>
      </x:c>
      <x:c r="F286" s="49" t="n">
        <x:f>F285*'Assumptions'!F12</x:f>
        <x:v>0</x:v>
      </x:c>
      <x:c r="G286" s="49" t="n">
        <x:f>G285*'Assumptions'!G12</x:f>
        <x:v>0</x:v>
      </x:c>
      <x:c r="H286" s="49" t="n">
        <x:f>H285*'Assumptions'!H12</x:f>
        <x:v>0</x:v>
      </x:c>
      <x:c r="I286" s="49" t="n">
        <x:f>I285*'Assumptions'!I12</x:f>
        <x:v>0</x:v>
      </x:c>
      <x:c r="J286" s="49" t="n">
        <x:f>J285*'Assumptions'!J12</x:f>
        <x:v>448</x:v>
      </x:c>
      <x:c r="K286" s="1"/>
      <x:c r="L286" s="1"/>
      <x:c r="M286" s="1"/>
    </x:row>
    <x:row r="287" ht="22" customHeight="1">
      <x:c r="A287" s="1"/>
      <x:c r="B287" s="1"/>
      <x:c r="C287" s="1" t="str">
        <x:v>Previously acquired households</x:v>
      </x:c>
      <x:c r="D287" s="11" t="n">
        <x:f>0</x:f>
        <x:v>0</x:v>
      </x:c>
      <x:c r="E287" s="11" t="n">
        <x:f>D294</x:f>
        <x:v>0</x:v>
      </x:c>
      <x:c r="F287" s="11" t="n">
        <x:f>E294</x:f>
        <x:v>0</x:v>
      </x:c>
      <x:c r="G287" s="11" t="n">
        <x:f>F294</x:f>
        <x:v>0</x:v>
      </x:c>
      <x:c r="H287" s="11" t="n">
        <x:f>G294</x:f>
        <x:v>0</x:v>
      </x:c>
      <x:c r="I287" s="11" t="n">
        <x:f>H294</x:f>
        <x:v>0</x:v>
      </x:c>
      <x:c r="J287" s="11" t="n">
        <x:f>I294</x:f>
        <x:v>560</x:v>
      </x:c>
      <x:c r="K287" s="1"/>
      <x:c r="L287" s="1"/>
      <x:c r="M287" s="1"/>
    </x:row>
    <x:row r="288" ht="22" customHeight="1">
      <x:c r="A288" s="1"/>
      <x:c r="B288" s="1"/>
      <x:c r="C288" s="1" t="str">
        <x:v>Qualified provider capacity plan</x:v>
      </x:c>
      <x:c r="D288" s="49" t="n">
        <x:f>IF(D283=0,0,MIN(ROUNDUP('Town inputs'!$E$55*IF('Assumptions'!$D$3="Downside",'Town inputs'!$D$77,IF('Assumptions'!$D$3="Upside",'Town inputs'!$D$78,1)),0),ROUNDUP(('Town inputs'!$J$36+(D283-1)*'Town inputs'!$D$55)*IF('Assumptions'!$D$3="Downside",'Town inputs'!$D$77,IF('Assumptions'!$D$3="Upside",'Town inputs'!$D$78,1)),0)))</x:f>
        <x:v>0</x:v>
      </x:c>
      <x:c r="E288" s="49" t="n">
        <x:f>IF(E283=0,0,MIN(ROUNDUP('Town inputs'!$E$55*IF('Assumptions'!$D$3="Downside",'Town inputs'!$D$77,IF('Assumptions'!$D$3="Upside",'Town inputs'!$D$78,1)),0),ROUNDUP(('Town inputs'!$J$36+(E283-1)*'Town inputs'!$D$55)*IF('Assumptions'!$D$3="Downside",'Town inputs'!$D$77,IF('Assumptions'!$D$3="Upside",'Town inputs'!$D$78,1)),0)))</x:f>
        <x:v>0</x:v>
      </x:c>
      <x:c r="F288" s="49" t="n">
        <x:f>IF(F283=0,0,MIN(ROUNDUP('Town inputs'!$E$55*IF('Assumptions'!$D$3="Downside",'Town inputs'!$D$77,IF('Assumptions'!$D$3="Upside",'Town inputs'!$D$78,1)),0),ROUNDUP(('Town inputs'!$J$36+(F283-1)*'Town inputs'!$D$55)*IF('Assumptions'!$D$3="Downside",'Town inputs'!$D$77,IF('Assumptions'!$D$3="Upside",'Town inputs'!$D$78,1)),0)))</x:f>
        <x:v>0</x:v>
      </x:c>
      <x:c r="G288" s="49" t="n">
        <x:f>IF(G283=0,0,MIN(ROUNDUP('Town inputs'!$E$55*IF('Assumptions'!$D$3="Downside",'Town inputs'!$D$77,IF('Assumptions'!$D$3="Upside",'Town inputs'!$D$78,1)),0),ROUNDUP(('Town inputs'!$J$36+(G283-1)*'Town inputs'!$D$55)*IF('Assumptions'!$D$3="Downside",'Town inputs'!$D$77,IF('Assumptions'!$D$3="Upside",'Town inputs'!$D$78,1)),0)))</x:f>
        <x:v>0</x:v>
      </x:c>
      <x:c r="H288" s="49" t="n">
        <x:f>IF(H283=0,0,MIN(ROUNDUP('Town inputs'!$E$55*IF('Assumptions'!$D$3="Downside",'Town inputs'!$D$77,IF('Assumptions'!$D$3="Upside",'Town inputs'!$D$78,1)),0),ROUNDUP(('Town inputs'!$J$36+(H283-1)*'Town inputs'!$D$55)*IF('Assumptions'!$D$3="Downside",'Town inputs'!$D$77,IF('Assumptions'!$D$3="Upside",'Town inputs'!$D$78,1)),0)))</x:f>
        <x:v>0</x:v>
      </x:c>
      <x:c r="I288" s="49" t="n">
        <x:f>IF(I283=0,0,MIN(ROUNDUP('Town inputs'!$E$55*IF('Assumptions'!$D$3="Downside",'Town inputs'!$D$77,IF('Assumptions'!$D$3="Upside",'Town inputs'!$D$78,1)),0),ROUNDUP(('Town inputs'!$J$36+(I283-1)*'Town inputs'!$D$55)*IF('Assumptions'!$D$3="Downside",'Town inputs'!$D$77,IF('Assumptions'!$D$3="Upside",'Town inputs'!$D$78,1)),0)))</x:f>
        <x:v>14</x:v>
      </x:c>
      <x:c r="J288" s="49" t="n">
        <x:f>IF(J283=0,0,MIN(ROUNDUP('Town inputs'!$E$55*IF('Assumptions'!$D$3="Downside",'Town inputs'!$D$77,IF('Assumptions'!$D$3="Upside",'Town inputs'!$D$78,1)),0),ROUNDUP(('Town inputs'!$J$36+(J283-1)*'Town inputs'!$D$55)*IF('Assumptions'!$D$3="Downside",'Town inputs'!$D$77,IF('Assumptions'!$D$3="Upside",'Town inputs'!$D$78,1)),0)))</x:f>
        <x:v>28</x:v>
      </x:c>
      <x:c r="K288" s="1"/>
      <x:c r="L288" s="1"/>
      <x:c r="M288" s="1"/>
    </x:row>
    <x:row r="289" ht="22" customHeight="1">
      <x:c r="A289" s="1"/>
      <x:c r="B289" s="1"/>
      <x:c r="C289" s="1" t="str">
        <x:v>Household capacity</x:v>
      </x:c>
      <x:c r="D289" s="49" t="n">
        <x:f>D288*'Assumptions'!$D$72</x:f>
        <x:v>0</x:v>
      </x:c>
      <x:c r="E289" s="49" t="n">
        <x:f>E288*'Assumptions'!$D$72</x:f>
        <x:v>0</x:v>
      </x:c>
      <x:c r="F289" s="49" t="n">
        <x:f>F288*'Assumptions'!$D$72</x:f>
        <x:v>0</x:v>
      </x:c>
      <x:c r="G289" s="49" t="n">
        <x:f>G288*'Assumptions'!$D$72</x:f>
        <x:v>0</x:v>
      </x:c>
      <x:c r="H289" s="49" t="n">
        <x:f>H288*'Assumptions'!$D$72</x:f>
        <x:v>0</x:v>
      </x:c>
      <x:c r="I289" s="49" t="n">
        <x:f>I288*'Assumptions'!$D$72</x:f>
        <x:v>560</x:v>
      </x:c>
      <x:c r="J289" s="49" t="n">
        <x:f>J288*'Assumptions'!$D$72</x:f>
        <x:v>1120</x:v>
      </x:c>
      <x:c r="K289" s="1"/>
      <x:c r="L289" s="1"/>
      <x:c r="M289" s="1"/>
    </x:row>
    <x:row r="290" ht="22" customHeight="1">
      <x:c r="A290" s="1"/>
      <x:c r="B290" s="1"/>
      <x:c r="C290" s="1" t="str">
        <x:v>Unconstrained new demand</x:v>
      </x:c>
      <x:c r="D290" s="49" t="n">
        <x:f>MAX(0,D284-D287)*MIN(1,MIN('Town inputs'!$D$65,'Town inputs'!$D$63+MAX(0,D283-1)*'Town inputs'!$D$64)*IF('Assumptions'!$D$3="Downside",'Town inputs'!$D$75,IF('Assumptions'!$D$3="Upside",'Town inputs'!$D$76,1)))</x:f>
        <x:v>0</x:v>
      </x:c>
      <x:c r="E290" s="49" t="n">
        <x:f>MAX(0,E284-E287)*MIN(1,MIN('Town inputs'!$D$65,'Town inputs'!$D$63+MAX(0,E283-1)*'Town inputs'!$D$64)*IF('Assumptions'!$D$3="Downside",'Town inputs'!$D$75,IF('Assumptions'!$D$3="Upside",'Town inputs'!$D$76,1)))</x:f>
        <x:v>0</x:v>
      </x:c>
      <x:c r="F290" s="49" t="n">
        <x:f>MAX(0,F284-F287)*MIN(1,MIN('Town inputs'!$D$65,'Town inputs'!$D$63+MAX(0,F283-1)*'Town inputs'!$D$64)*IF('Assumptions'!$D$3="Downside",'Town inputs'!$D$75,IF('Assumptions'!$D$3="Upside",'Town inputs'!$D$76,1)))</x:f>
        <x:v>0</x:v>
      </x:c>
      <x:c r="G290" s="49" t="n">
        <x:f>MAX(0,G284-G287)*MIN(1,MIN('Town inputs'!$D$65,'Town inputs'!$D$63+MAX(0,G283-1)*'Town inputs'!$D$64)*IF('Assumptions'!$D$3="Downside",'Town inputs'!$D$75,IF('Assumptions'!$D$3="Upside",'Town inputs'!$D$76,1)))</x:f>
        <x:v>0</x:v>
      </x:c>
      <x:c r="H290" s="49" t="n">
        <x:f>MAX(0,H284-H287)*MIN(1,MIN('Town inputs'!$D$65,'Town inputs'!$D$63+MAX(0,H283-1)*'Town inputs'!$D$64)*IF('Assumptions'!$D$3="Downside",'Town inputs'!$D$75,IF('Assumptions'!$D$3="Upside",'Town inputs'!$D$76,1)))</x:f>
        <x:v>0</x:v>
      </x:c>
      <x:c r="I290" s="49" t="n">
        <x:f>MAX(0,I284-I287)*MIN(1,MIN('Town inputs'!$D$65,'Town inputs'!$D$63+MAX(0,I283-1)*'Town inputs'!$D$64)*IF('Assumptions'!$D$3="Downside",'Town inputs'!$D$75,IF('Assumptions'!$D$3="Upside",'Town inputs'!$D$76,1)))</x:f>
        <x:v>760.5251104000002</x:v>
      </x:c>
      <x:c r="J290" s="49" t="n">
        <x:f>MAX(0,J284-J287)*MIN(1,MIN('Town inputs'!$D$65,'Town inputs'!$D$63+MAX(0,J283-1)*'Town inputs'!$D$64)*IF('Assumptions'!$D$3="Downside",'Town inputs'!$D$75,IF('Assumptions'!$D$3="Upside",'Town inputs'!$D$76,1)))</x:f>
        <x:v>894.6563880000003</x:v>
      </x:c>
      <x:c r="K290" s="1"/>
      <x:c r="L290" s="1"/>
      <x:c r="M290" s="1"/>
    </x:row>
    <x:row r="291" ht="22" customHeight="1">
      <x:c r="A291" s="1"/>
      <x:c r="B291" s="1"/>
      <x:c r="C291" s="1" t="str">
        <x:v>New first-time households</x:v>
      </x:c>
      <x:c r="D291" s="11" t="n">
        <x:f>MIN(D290,MAX(0,D289-D286))</x:f>
        <x:v>0</x:v>
      </x:c>
      <x:c r="E291" s="11" t="n">
        <x:f>MIN(E290,MAX(0,E289-E286))</x:f>
        <x:v>0</x:v>
      </x:c>
      <x:c r="F291" s="11" t="n">
        <x:f>MIN(F290,MAX(0,F289-F286))</x:f>
        <x:v>0</x:v>
      </x:c>
      <x:c r="G291" s="11" t="n">
        <x:f>MIN(G290,MAX(0,G289-G286))</x:f>
        <x:v>0</x:v>
      </x:c>
      <x:c r="H291" s="11" t="n">
        <x:f>MIN(H290,MAX(0,H289-H286))</x:f>
        <x:v>0</x:v>
      </x:c>
      <x:c r="I291" s="11" t="n">
        <x:f>MIN(I290,MAX(0,I289-I286))</x:f>
        <x:v>560</x:v>
      </x:c>
      <x:c r="J291" s="11" t="n">
        <x:f>MIN(J290,MAX(0,J289-J286))</x:f>
        <x:v>672</x:v>
      </x:c>
      <x:c r="K291" s="1"/>
      <x:c r="L291" s="1"/>
      <x:c r="M291" s="1"/>
    </x:row>
    <x:row r="292" ht="22" customHeight="1">
      <x:c r="A292" s="1"/>
      <x:c r="B292" s="1"/>
      <x:c r="C292" s="1" t="str">
        <x:v>Ending active households</x:v>
      </x:c>
      <x:c r="D292" s="11" t="n">
        <x:f>D286+D291</x:f>
        <x:v>0</x:v>
      </x:c>
      <x:c r="E292" s="11" t="n">
        <x:f>E286+E291</x:f>
        <x:v>0</x:v>
      </x:c>
      <x:c r="F292" s="11" t="n">
        <x:f>F286+F291</x:f>
        <x:v>0</x:v>
      </x:c>
      <x:c r="G292" s="11" t="n">
        <x:f>G286+G291</x:f>
        <x:v>0</x:v>
      </x:c>
      <x:c r="H292" s="11" t="n">
        <x:f>H286+H291</x:f>
        <x:v>0</x:v>
      </x:c>
      <x:c r="I292" s="11" t="n">
        <x:f>I286+I291</x:f>
        <x:v>560</x:v>
      </x:c>
      <x:c r="J292" s="11" t="n">
        <x:f>J286+J291</x:f>
        <x:v>1120</x:v>
      </x:c>
      <x:c r="K292" s="1"/>
      <x:c r="L292" s="1"/>
      <x:c r="M292" s="1"/>
    </x:row>
    <x:row r="293" ht="22" customHeight="1">
      <x:c r="A293" s="1"/>
      <x:c r="B293" s="1"/>
      <x:c r="C293" s="1" t="str">
        <x:v>Full-season equivalent households</x:v>
      </x:c>
      <x:c r="D293" s="49" t="n">
        <x:f>D286+D291*'Assumptions'!$D$71</x:f>
        <x:v>0</x:v>
      </x:c>
      <x:c r="E293" s="49" t="n">
        <x:f>E286+E291*'Assumptions'!$D$71</x:f>
        <x:v>0</x:v>
      </x:c>
      <x:c r="F293" s="49" t="n">
        <x:f>F286+F291*'Assumptions'!$D$71</x:f>
        <x:v>0</x:v>
      </x:c>
      <x:c r="G293" s="49" t="n">
        <x:f>G286+G291*'Assumptions'!$D$71</x:f>
        <x:v>0</x:v>
      </x:c>
      <x:c r="H293" s="49" t="n">
        <x:f>H286+H291*'Assumptions'!$D$71</x:f>
        <x:v>0</x:v>
      </x:c>
      <x:c r="I293" s="49" t="n">
        <x:f>I286+I291*'Assumptions'!$D$71</x:f>
        <x:v>280</x:v>
      </x:c>
      <x:c r="J293" s="49" t="n">
        <x:f>J286+J291*'Assumptions'!$D$71</x:f>
        <x:v>784</x:v>
      </x:c>
      <x:c r="K293" s="1"/>
      <x:c r="L293" s="1"/>
      <x:c r="M293" s="1"/>
    </x:row>
    <x:row r="294" ht="22" customHeight="1">
      <x:c r="A294" s="1"/>
      <x:c r="B294" s="1"/>
      <x:c r="C294" s="1" t="str">
        <x:v>Cumulative ever-acquired households</x:v>
      </x:c>
      <x:c r="D294" s="11" t="n">
        <x:f>D287+D291</x:f>
        <x:v>0</x:v>
      </x:c>
      <x:c r="E294" s="11" t="n">
        <x:f>E287+E291</x:f>
        <x:v>0</x:v>
      </x:c>
      <x:c r="F294" s="11" t="n">
        <x:f>F287+F291</x:f>
        <x:v>0</x:v>
      </x:c>
      <x:c r="G294" s="11" t="n">
        <x:f>G287+G291</x:f>
        <x:v>0</x:v>
      </x:c>
      <x:c r="H294" s="11" t="n">
        <x:f>H287+H291</x:f>
        <x:v>0</x:v>
      </x:c>
      <x:c r="I294" s="11" t="n">
        <x:f>I287+I291</x:f>
        <x:v>560</x:v>
      </x:c>
      <x:c r="J294" s="11" t="n">
        <x:f>J287+J291</x:f>
        <x:v>1232</x:v>
      </x:c>
      <x:c r="K294" s="1"/>
      <x:c r="L294" s="1"/>
      <x:c r="M294" s="1"/>
    </x:row>
    <x:row r="295" ht="22" customHeight="1">
      <x:c r="A295" s="1"/>
      <x:c r="B295" s="1"/>
      <x:c r="C295" s="1" t="str">
        <x:v>Ending payout-active providers</x:v>
      </x:c>
      <x:c r="D295" s="49" t="n">
        <x:f>MIN(D288,ROUNDUP(D292/'Assumptions'!$D$72,0))</x:f>
        <x:v>0</x:v>
      </x:c>
      <x:c r="E295" s="49" t="n">
        <x:f>MIN(E288,ROUNDUP(E292/'Assumptions'!$D$72,0))</x:f>
        <x:v>0</x:v>
      </x:c>
      <x:c r="F295" s="49" t="n">
        <x:f>MIN(F288,ROUNDUP(F292/'Assumptions'!$D$72,0))</x:f>
        <x:v>0</x:v>
      </x:c>
      <x:c r="G295" s="49" t="n">
        <x:f>MIN(G288,ROUNDUP(G292/'Assumptions'!$D$72,0))</x:f>
        <x:v>0</x:v>
      </x:c>
      <x:c r="H295" s="49" t="n">
        <x:f>MIN(H288,ROUNDUP(H292/'Assumptions'!$D$72,0))</x:f>
        <x:v>0</x:v>
      </x:c>
      <x:c r="I295" s="49" t="n">
        <x:f>MIN(I288,ROUNDUP(I292/'Assumptions'!$D$72,0))</x:f>
        <x:v>14</x:v>
      </x:c>
      <x:c r="J295" s="49" t="n">
        <x:f>MIN(J288,ROUNDUP(J292/'Assumptions'!$D$72,0))</x:f>
        <x:v>28</x:v>
      </x:c>
      <x:c r="K295" s="1"/>
      <x:c r="L295" s="1"/>
      <x:c r="M295" s="1"/>
    </x:row>
    <x:row r="296" ht="22" customHeight="1">
      <x:c r="A296" s="1"/>
      <x:c r="B296" s="1"/>
      <x:c r="C296" s="1" t="str">
        <x:v>Retained active providers</x:v>
      </x:c>
      <x:c r="D296" s="11" t="n">
        <x:f>0</x:f>
        <x:v>0</x:v>
      </x:c>
      <x:c r="E296" s="49" t="n">
        <x:f>D295*'Assumptions'!$D$73</x:f>
        <x:v>0</x:v>
      </x:c>
      <x:c r="F296" s="49" t="n">
        <x:f>E295*'Assumptions'!$D$73</x:f>
        <x:v>0</x:v>
      </x:c>
      <x:c r="G296" s="49" t="n">
        <x:f>F295*'Assumptions'!$D$73</x:f>
        <x:v>0</x:v>
      </x:c>
      <x:c r="H296" s="49" t="n">
        <x:f>G295*'Assumptions'!$D$73</x:f>
        <x:v>0</x:v>
      </x:c>
      <x:c r="I296" s="49" t="n">
        <x:f>H295*'Assumptions'!$D$73</x:f>
        <x:v>0</x:v>
      </x:c>
      <x:c r="J296" s="49" t="n">
        <x:f>I295*'Assumptions'!$D$73</x:f>
        <x:v>11.9</x:v>
      </x:c>
      <x:c r="K296" s="1"/>
      <x:c r="L296" s="1"/>
      <x:c r="M296" s="1"/>
    </x:row>
    <x:row r="297" ht="22" customHeight="1">
      <x:c r="A297" s="1"/>
      <x:c r="B297" s="1"/>
      <x:c r="C297" s="1" t="str">
        <x:v>New / replacement active providers</x:v>
      </x:c>
      <x:c r="D297" s="11" t="n">
        <x:f>MAX(0,D295-D296)</x:f>
        <x:v>0</x:v>
      </x:c>
      <x:c r="E297" s="11" t="n">
        <x:f>MAX(0,E295-E296)</x:f>
        <x:v>0</x:v>
      </x:c>
      <x:c r="F297" s="11" t="n">
        <x:f>MAX(0,F295-F296)</x:f>
        <x:v>0</x:v>
      </x:c>
      <x:c r="G297" s="11" t="n">
        <x:f>MAX(0,G295-G296)</x:f>
        <x:v>0</x:v>
      </x:c>
      <x:c r="H297" s="11" t="n">
        <x:f>MAX(0,H295-H296)</x:f>
        <x:v>0</x:v>
      </x:c>
      <x:c r="I297" s="11" t="n">
        <x:f>MAX(0,I295-I296)</x:f>
        <x:v>14</x:v>
      </x:c>
      <x:c r="J297" s="11" t="n">
        <x:f>MAX(0,J295-J296)</x:f>
        <x:v>16.1</x:v>
      </x:c>
      <x:c r="K297" s="1"/>
      <x:c r="L297" s="1"/>
      <x:c r="M297" s="1"/>
    </x:row>
    <x:row r="298" ht="22" customHeight="1">
      <x:c r="A298" s="1"/>
      <x:c r="B298" s="1"/>
      <x:c r="C298" s="1" t="str">
        <x:v>Average payout-active providers</x:v>
      </x:c>
      <x:c r="D298" s="49" t="n">
        <x:f>D296+D297*'Assumptions'!$D$71</x:f>
        <x:v>0</x:v>
      </x:c>
      <x:c r="E298" s="49" t="n">
        <x:f>E296+E297*'Assumptions'!$D$71</x:f>
        <x:v>0</x:v>
      </x:c>
      <x:c r="F298" s="49" t="n">
        <x:f>F296+F297*'Assumptions'!$D$71</x:f>
        <x:v>0</x:v>
      </x:c>
      <x:c r="G298" s="49" t="n">
        <x:f>G296+G297*'Assumptions'!$D$71</x:f>
        <x:v>0</x:v>
      </x:c>
      <x:c r="H298" s="49" t="n">
        <x:f>H296+H297*'Assumptions'!$D$71</x:f>
        <x:v>0</x:v>
      </x:c>
      <x:c r="I298" s="49" t="n">
        <x:f>I296+I297*'Assumptions'!$D$71</x:f>
        <x:v>7</x:v>
      </x:c>
      <x:c r="J298" s="49" t="n">
        <x:f>J296+J297*'Assumptions'!$D$71</x:f>
        <x:v>19.950000000000003</x:v>
      </x:c>
      <x:c r="K298" s="1"/>
      <x:c r="L298" s="1"/>
      <x:c r="M298" s="1"/>
    </x:row>
    <x:row r="299" ht="22" customHeight="1">
      <x:c r="A299" s="1"/>
      <x:c r="B299" s="1"/>
      <x:c r="C299" s="1" t="str">
        <x:v>Cash acquisition spend</x:v>
      </x:c>
      <x:c r="D299" s="50" t="n">
        <x:f>D291*'Town inputs'!$F$55*(1-'Town inputs'!$D$66)^0*IF('Assumptions'!$D$3="Downside",'Town inputs'!$D$79,IF('Assumptions'!$D$3="Upside",'Town inputs'!$D$80,1))*(1+('Town inputs'!$D$103/'Town inputs'!$D$104-1)*0/6)</x:f>
        <x:v>0</x:v>
      </x:c>
      <x:c r="E299" s="50" t="n">
        <x:f>E291*'Town inputs'!$F$55*(1-'Town inputs'!$D$66)^1*IF('Assumptions'!$D$3="Downside",'Town inputs'!$D$79,IF('Assumptions'!$D$3="Upside",'Town inputs'!$D$80,1))*(1+('Town inputs'!$D$103/'Town inputs'!$D$104-1)*1/6)</x:f>
        <x:v>0</x:v>
      </x:c>
      <x:c r="F299" s="50" t="n">
        <x:f>F291*'Town inputs'!$F$55*(1-'Town inputs'!$D$66)^2*IF('Assumptions'!$D$3="Downside",'Town inputs'!$D$79,IF('Assumptions'!$D$3="Upside",'Town inputs'!$D$80,1))*(1+('Town inputs'!$D$103/'Town inputs'!$D$104-1)*2/6)</x:f>
        <x:v>0</x:v>
      </x:c>
      <x:c r="G299" s="50" t="n">
        <x:f>G291*'Town inputs'!$F$55*(1-'Town inputs'!$D$66)^3*IF('Assumptions'!$D$3="Downside",'Town inputs'!$D$79,IF('Assumptions'!$D$3="Upside",'Town inputs'!$D$80,1))*(1+('Town inputs'!$D$103/'Town inputs'!$D$104-1)*3/6)</x:f>
        <x:v>0</x:v>
      </x:c>
      <x:c r="H299" s="50" t="n">
        <x:f>H291*'Town inputs'!$F$55*(1-'Town inputs'!$D$66)^4*IF('Assumptions'!$D$3="Downside",'Town inputs'!$D$79,IF('Assumptions'!$D$3="Upside",'Town inputs'!$D$80,1))*(1+('Town inputs'!$D$103/'Town inputs'!$D$104-1)*4/6)</x:f>
        <x:v>0</x:v>
      </x:c>
      <x:c r="I299" s="50" t="n">
        <x:f>I291*'Town inputs'!$F$55*(1-'Town inputs'!$D$66)^5*IF('Assumptions'!$D$3="Downside",'Town inputs'!$D$79,IF('Assumptions'!$D$3="Upside",'Town inputs'!$D$80,1))*(1+('Town inputs'!$D$103/'Town inputs'!$D$104-1)*5/6)</x:f>
        <x:v>25377.583119152794</x:v>
      </x:c>
      <x:c r="J299" s="50" t="n">
        <x:f>J291*'Town inputs'!$F$55*(1-'Town inputs'!$D$66)^6*IF('Assumptions'!$D$3="Downside",'Town inputs'!$D$79,IF('Assumptions'!$D$3="Upside",'Town inputs'!$D$80,1))*(1+('Town inputs'!$D$103/'Town inputs'!$D$104-1)*6/6)</x:f>
        <x:v>28294.770950501024</x:v>
      </x:c>
      <x:c r="K299" s="1"/>
      <x:c r="L299" s="1"/>
      <x:c r="M299" s="1"/>
    </x:row>
    <x:row r="300" ht="22" customHeight="1">
      <x:c r="A300" s="1"/>
      <x:c r="B300" s="1"/>
      <x:c r="C300" s="1" t="str">
        <x:v>Launch spend</x:v>
      </x:c>
      <x:c r="D300" s="50" t="n">
        <x:f>IF(D283=1,'Town inputs'!$G$55*(1+'Town inputs'!$D$67)^0,0)</x:f>
        <x:v>0</x:v>
      </x:c>
      <x:c r="E300" s="50" t="n">
        <x:f>IF(E283=1,'Town inputs'!$G$55*(1+'Town inputs'!$D$67)^1,0)</x:f>
        <x:v>0</x:v>
      </x:c>
      <x:c r="F300" s="50" t="n">
        <x:f>IF(F283=1,'Town inputs'!$G$55*(1+'Town inputs'!$D$67)^2,0)</x:f>
        <x:v>0</x:v>
      </x:c>
      <x:c r="G300" s="50" t="n">
        <x:f>IF(G283=1,'Town inputs'!$G$55*(1+'Town inputs'!$D$67)^3,0)</x:f>
        <x:v>0</x:v>
      </x:c>
      <x:c r="H300" s="50" t="n">
        <x:f>IF(H283=1,'Town inputs'!$G$55*(1+'Town inputs'!$D$67)^4,0)</x:f>
        <x:v>0</x:v>
      </x:c>
      <x:c r="I300" s="50" t="n">
        <x:f>IF(I283=1,'Town inputs'!$G$55*(1+'Town inputs'!$D$67)^5,0)</x:f>
        <x:v>28981.8518575</x:v>
      </x:c>
      <x:c r="J300" s="50" t="n">
        <x:f>IF(J283=1,'Town inputs'!$G$55*(1+'Town inputs'!$D$67)^6,0)</x:f>
        <x:v>0</x:v>
      </x:c>
      <x:c r="K300" s="1"/>
      <x:c r="L300" s="1"/>
      <x:c r="M300" s="1"/>
    </x:row>
    <x:row r="301" ht="22" customHeight="1">
      <x:c r="A301" s="1"/>
      <x:c r="B301" s="1"/>
      <x:c r="C301" s="1" t="str">
        <x:v>Annual local coverage</x:v>
      </x:c>
      <x:c r="D301" s="50" t="n">
        <x:f>IF(D283&gt;0,'Town inputs'!$H$55*(1+'Town inputs'!$D$67)^0*IF(D283=1,'Assumptions'!$D$71,1),0)</x:f>
        <x:v>0</x:v>
      </x:c>
      <x:c r="E301" s="50" t="n">
        <x:f>IF(E283&gt;0,'Town inputs'!$H$55*(1+'Town inputs'!$D$67)^1*IF(E283=1,'Assumptions'!$D$71,1),0)</x:f>
        <x:v>0</x:v>
      </x:c>
      <x:c r="F301" s="50" t="n">
        <x:f>IF(F283&gt;0,'Town inputs'!$H$55*(1+'Town inputs'!$D$67)^2*IF(F283=1,'Assumptions'!$D$71,1),0)</x:f>
        <x:v>0</x:v>
      </x:c>
      <x:c r="G301" s="50" t="n">
        <x:f>IF(G283&gt;0,'Town inputs'!$H$55*(1+'Town inputs'!$D$67)^3*IF(G283=1,'Assumptions'!$D$71,1),0)</x:f>
        <x:v>0</x:v>
      </x:c>
      <x:c r="H301" s="50" t="n">
        <x:f>IF(H283&gt;0,'Town inputs'!$H$55*(1+'Town inputs'!$D$67)^4*IF(H283=1,'Assumptions'!$D$71,1),0)</x:f>
        <x:v>0</x:v>
      </x:c>
      <x:c r="I301" s="50" t="n">
        <x:f>IF(I283&gt;0,'Town inputs'!$H$55*(1+'Town inputs'!$D$67)^5*IF(I283=1,'Assumptions'!$D$71,1),0)</x:f>
        <x:v>5796.3703715</x:v>
      </x:c>
      <x:c r="J301" s="50" t="n">
        <x:f>IF(J283&gt;0,'Town inputs'!$H$55*(1+'Town inputs'!$D$67)^6*IF(J283=1,'Assumptions'!$D$71,1),0)</x:f>
        <x:v>11940.522965290002</x:v>
      </x:c>
      <x:c r="K301" s="1"/>
      <x:c r="L301" s="1"/>
      <x:c r="M301" s="1"/>
    </x:row>
    <x:row r="302" ht="22" customHeight="1">
      <x:c r="A302" s="1"/>
      <x:c r="B302" s="1"/>
      <x:c r="C302" s="1"/>
      <x:c r="D302" s="6"/>
      <x:c r="E302" s="6"/>
      <x:c r="F302" s="6"/>
      <x:c r="G302" s="6"/>
      <x:c r="H302" s="6"/>
      <x:c r="I302" s="6"/>
      <x:c r="J302" s="6"/>
      <x:c r="K302" s="1"/>
      <x:c r="L302" s="1"/>
      <x:c r="M302" s="1"/>
    </x:row>
    <x:row r="303" ht="22" customHeight="1">
      <x:c r="A303" s="1"/>
      <x:c r="B303" s="1"/>
      <x:c r="C303" s="1"/>
      <x:c r="D303" s="6"/>
      <x:c r="E303" s="6"/>
      <x:c r="F303" s="6"/>
      <x:c r="G303" s="6"/>
      <x:c r="H303" s="6"/>
      <x:c r="I303" s="6"/>
      <x:c r="J303" s="6"/>
      <x:c r="K303" s="1"/>
      <x:c r="L303" s="1"/>
      <x:c r="M303" s="1"/>
    </x:row>
    <x:row r="304" ht="22" customHeight="1">
      <x:c r="A304" s="1"/>
      <x:c r="B304" s="1"/>
      <x:c r="C304" s="5" t="str">
        <x:v>Holmdel | Monmouth County</x:v>
      </x:c>
      <x:c r="D304" s="26"/>
      <x:c r="E304" s="26"/>
      <x:c r="F304" s="26"/>
      <x:c r="G304" s="26"/>
      <x:c r="H304" s="26"/>
      <x:c r="I304" s="26"/>
      <x:c r="J304" s="26"/>
      <x:c r="K304" s="1"/>
      <x:c r="L304" s="1"/>
      <x:c r="M304" s="1"/>
    </x:row>
    <x:row r="305" ht="22" customHeight="1">
      <x:c r="A305" s="1"/>
      <x:c r="B305" s="1"/>
      <x:c r="C305" s="1" t="str">
        <x:v>Years since launch</x:v>
      </x:c>
      <x:c r="D305" s="49" t="n">
        <x:f>MAX(0,2027-'Town inputs'!$D$37+1)</x:f>
        <x:v>0</x:v>
      </x:c>
      <x:c r="E305" s="49" t="n">
        <x:f>MAX(0,2028-'Town inputs'!$D$37+1)</x:f>
        <x:v>0</x:v>
      </x:c>
      <x:c r="F305" s="49" t="n">
        <x:f>MAX(0,2029-'Town inputs'!$D$37+1)</x:f>
        <x:v>0</x:v>
      </x:c>
      <x:c r="G305" s="49" t="n">
        <x:f>MAX(0,2030-'Town inputs'!$D$37+1)</x:f>
        <x:v>0</x:v>
      </x:c>
      <x:c r="H305" s="49" t="n">
        <x:f>MAX(0,2031-'Town inputs'!$D$37+1)</x:f>
        <x:v>0</x:v>
      </x:c>
      <x:c r="I305" s="49" t="n">
        <x:f>MAX(0,2032-'Town inputs'!$D$37+1)</x:f>
        <x:v>1</x:v>
      </x:c>
      <x:c r="J305" s="49" t="n">
        <x:f>MAX(0,2033-'Town inputs'!$D$37+1)</x:f>
        <x:v>2</x:v>
      </x:c>
      <x:c r="K305" s="1"/>
      <x:c r="L305" s="1"/>
      <x:c r="M305" s="1"/>
    </x:row>
    <x:row r="306" ht="22" customHeight="1">
      <x:c r="A306" s="1"/>
      <x:c r="B306" s="1"/>
      <x:c r="C306" s="1" t="str">
        <x:v>Assumed outsourcing pool</x:v>
      </x:c>
      <x:c r="D306" s="49" t="n">
        <x:f>IF(D305&gt;0,'Town inputs'!$D$18*'Town inputs'!$E$18*'Town inputs'!$E$37*MIN(1,'Town inputs'!$F$37*IF('Assumptions'!$D$3="Downside",'Town inputs'!$D$73,IF('Assumptions'!$D$3="Upside",'Town inputs'!$D$74,1))),0)</x:f>
        <x:v>0</x:v>
      </x:c>
      <x:c r="E306" s="49" t="n">
        <x:f>IF(E305&gt;0,'Town inputs'!$D$18*'Town inputs'!$E$18*'Town inputs'!$E$37*MIN(1,'Town inputs'!$F$37*IF('Assumptions'!$D$3="Downside",'Town inputs'!$D$73,IF('Assumptions'!$D$3="Upside",'Town inputs'!$D$74,1))),0)</x:f>
        <x:v>0</x:v>
      </x:c>
      <x:c r="F306" s="49" t="n">
        <x:f>IF(F305&gt;0,'Town inputs'!$D$18*'Town inputs'!$E$18*'Town inputs'!$E$37*MIN(1,'Town inputs'!$F$37*IF('Assumptions'!$D$3="Downside",'Town inputs'!$D$73,IF('Assumptions'!$D$3="Upside",'Town inputs'!$D$74,1))),0)</x:f>
        <x:v>0</x:v>
      </x:c>
      <x:c r="G306" s="49" t="n">
        <x:f>IF(G305&gt;0,'Town inputs'!$D$18*'Town inputs'!$E$18*'Town inputs'!$E$37*MIN(1,'Town inputs'!$F$37*IF('Assumptions'!$D$3="Downside",'Town inputs'!$D$73,IF('Assumptions'!$D$3="Upside",'Town inputs'!$D$74,1))),0)</x:f>
        <x:v>0</x:v>
      </x:c>
      <x:c r="H306" s="49" t="n">
        <x:f>IF(H305&gt;0,'Town inputs'!$D$18*'Town inputs'!$E$18*'Town inputs'!$E$37*MIN(1,'Town inputs'!$F$37*IF('Assumptions'!$D$3="Downside",'Town inputs'!$D$73,IF('Assumptions'!$D$3="Upside",'Town inputs'!$D$74,1))),0)</x:f>
        <x:v>0</x:v>
      </x:c>
      <x:c r="I306" s="49" t="n">
        <x:f>IF(I305&gt;0,'Town inputs'!$D$18*'Town inputs'!$E$18*'Town inputs'!$E$37*MIN(1,'Town inputs'!$F$37*IF('Assumptions'!$D$3="Downside",'Town inputs'!$D$73,IF('Assumptions'!$D$3="Upside",'Town inputs'!$D$74,1))),0)</x:f>
        <x:v>3253.6526099999996</x:v>
      </x:c>
      <x:c r="J306" s="49" t="n">
        <x:f>IF(J305&gt;0,'Town inputs'!$D$18*'Town inputs'!$E$18*'Town inputs'!$E$37*MIN(1,'Town inputs'!$F$37*IF('Assumptions'!$D$3="Downside",'Town inputs'!$D$73,IF('Assumptions'!$D$3="Upside",'Town inputs'!$D$74,1))),0)</x:f>
        <x:v>3253.6526099999996</x:v>
      </x:c>
      <x:c r="K306" s="1"/>
      <x:c r="L306" s="1"/>
      <x:c r="M306" s="1"/>
    </x:row>
    <x:row r="307" ht="22" customHeight="1">
      <x:c r="A307" s="1"/>
      <x:c r="B307" s="1"/>
      <x:c r="C307" s="1" t="str">
        <x:v>Opening active households</x:v>
      </x:c>
      <x:c r="D307" s="11" t="n">
        <x:f>0</x:f>
        <x:v>0</x:v>
      </x:c>
      <x:c r="E307" s="11" t="n">
        <x:f>D314</x:f>
        <x:v>0</x:v>
      </x:c>
      <x:c r="F307" s="11" t="n">
        <x:f>E314</x:f>
        <x:v>0</x:v>
      </x:c>
      <x:c r="G307" s="11" t="n">
        <x:f>F314</x:f>
        <x:v>0</x:v>
      </x:c>
      <x:c r="H307" s="11" t="n">
        <x:f>G314</x:f>
        <x:v>0</x:v>
      </x:c>
      <x:c r="I307" s="11" t="n">
        <x:f>H314</x:f>
        <x:v>0</x:v>
      </x:c>
      <x:c r="J307" s="11" t="n">
        <x:f>I314</x:f>
        <x:v>240</x:v>
      </x:c>
      <x:c r="K307" s="1"/>
      <x:c r="L307" s="1"/>
      <x:c r="M307" s="1"/>
    </x:row>
    <x:row r="308" ht="22" customHeight="1">
      <x:c r="A308" s="1"/>
      <x:c r="B308" s="1"/>
      <x:c r="C308" s="1" t="str">
        <x:v>Retained households</x:v>
      </x:c>
      <x:c r="D308" s="49" t="n">
        <x:f>D307*'Assumptions'!D12</x:f>
        <x:v>0</x:v>
      </x:c>
      <x:c r="E308" s="49" t="n">
        <x:f>E307*'Assumptions'!E12</x:f>
        <x:v>0</x:v>
      </x:c>
      <x:c r="F308" s="49" t="n">
        <x:f>F307*'Assumptions'!F12</x:f>
        <x:v>0</x:v>
      </x:c>
      <x:c r="G308" s="49" t="n">
        <x:f>G307*'Assumptions'!G12</x:f>
        <x:v>0</x:v>
      </x:c>
      <x:c r="H308" s="49" t="n">
        <x:f>H307*'Assumptions'!H12</x:f>
        <x:v>0</x:v>
      </x:c>
      <x:c r="I308" s="49" t="n">
        <x:f>I307*'Assumptions'!I12</x:f>
        <x:v>0</x:v>
      </x:c>
      <x:c r="J308" s="49" t="n">
        <x:f>J307*'Assumptions'!J12</x:f>
        <x:v>192</x:v>
      </x:c>
      <x:c r="K308" s="1"/>
      <x:c r="L308" s="1"/>
      <x:c r="M308" s="1"/>
    </x:row>
    <x:row r="309" ht="22" customHeight="1">
      <x:c r="A309" s="1"/>
      <x:c r="B309" s="1"/>
      <x:c r="C309" s="1" t="str">
        <x:v>Previously acquired households</x:v>
      </x:c>
      <x:c r="D309" s="11" t="n">
        <x:f>0</x:f>
        <x:v>0</x:v>
      </x:c>
      <x:c r="E309" s="11" t="n">
        <x:f>D316</x:f>
        <x:v>0</x:v>
      </x:c>
      <x:c r="F309" s="11" t="n">
        <x:f>E316</x:f>
        <x:v>0</x:v>
      </x:c>
      <x:c r="G309" s="11" t="n">
        <x:f>F316</x:f>
        <x:v>0</x:v>
      </x:c>
      <x:c r="H309" s="11" t="n">
        <x:f>G316</x:f>
        <x:v>0</x:v>
      </x:c>
      <x:c r="I309" s="11" t="n">
        <x:f>H316</x:f>
        <x:v>0</x:v>
      </x:c>
      <x:c r="J309" s="11" t="n">
        <x:f>I316</x:f>
        <x:v>240</x:v>
      </x:c>
      <x:c r="K309" s="1"/>
      <x:c r="L309" s="1"/>
      <x:c r="M309" s="1"/>
    </x:row>
    <x:row r="310" ht="22" customHeight="1">
      <x:c r="A310" s="1"/>
      <x:c r="B310" s="1"/>
      <x:c r="C310" s="1" t="str">
        <x:v>Qualified provider capacity plan</x:v>
      </x:c>
      <x:c r="D310" s="49" t="n">
        <x:f>IF(D305=0,0,MIN(ROUNDUP('Town inputs'!$E$56*IF('Assumptions'!$D$3="Downside",'Town inputs'!$D$77,IF('Assumptions'!$D$3="Upside",'Town inputs'!$D$78,1)),0),ROUNDUP(('Town inputs'!$J$37+(D305-1)*'Town inputs'!$D$56)*IF('Assumptions'!$D$3="Downside",'Town inputs'!$D$77,IF('Assumptions'!$D$3="Upside",'Town inputs'!$D$78,1)),0)))</x:f>
        <x:v>0</x:v>
      </x:c>
      <x:c r="E310" s="49" t="n">
        <x:f>IF(E305=0,0,MIN(ROUNDUP('Town inputs'!$E$56*IF('Assumptions'!$D$3="Downside",'Town inputs'!$D$77,IF('Assumptions'!$D$3="Upside",'Town inputs'!$D$78,1)),0),ROUNDUP(('Town inputs'!$J$37+(E305-1)*'Town inputs'!$D$56)*IF('Assumptions'!$D$3="Downside",'Town inputs'!$D$77,IF('Assumptions'!$D$3="Upside",'Town inputs'!$D$78,1)),0)))</x:f>
        <x:v>0</x:v>
      </x:c>
      <x:c r="F310" s="49" t="n">
        <x:f>IF(F305=0,0,MIN(ROUNDUP('Town inputs'!$E$56*IF('Assumptions'!$D$3="Downside",'Town inputs'!$D$77,IF('Assumptions'!$D$3="Upside",'Town inputs'!$D$78,1)),0),ROUNDUP(('Town inputs'!$J$37+(F305-1)*'Town inputs'!$D$56)*IF('Assumptions'!$D$3="Downside",'Town inputs'!$D$77,IF('Assumptions'!$D$3="Upside",'Town inputs'!$D$78,1)),0)))</x:f>
        <x:v>0</x:v>
      </x:c>
      <x:c r="G310" s="49" t="n">
        <x:f>IF(G305=0,0,MIN(ROUNDUP('Town inputs'!$E$56*IF('Assumptions'!$D$3="Downside",'Town inputs'!$D$77,IF('Assumptions'!$D$3="Upside",'Town inputs'!$D$78,1)),0),ROUNDUP(('Town inputs'!$J$37+(G305-1)*'Town inputs'!$D$56)*IF('Assumptions'!$D$3="Downside",'Town inputs'!$D$77,IF('Assumptions'!$D$3="Upside",'Town inputs'!$D$78,1)),0)))</x:f>
        <x:v>0</x:v>
      </x:c>
      <x:c r="H310" s="49" t="n">
        <x:f>IF(H305=0,0,MIN(ROUNDUP('Town inputs'!$E$56*IF('Assumptions'!$D$3="Downside",'Town inputs'!$D$77,IF('Assumptions'!$D$3="Upside",'Town inputs'!$D$78,1)),0),ROUNDUP(('Town inputs'!$J$37+(H305-1)*'Town inputs'!$D$56)*IF('Assumptions'!$D$3="Downside",'Town inputs'!$D$77,IF('Assumptions'!$D$3="Upside",'Town inputs'!$D$78,1)),0)))</x:f>
        <x:v>0</x:v>
      </x:c>
      <x:c r="I310" s="49" t="n">
        <x:f>IF(I305=0,0,MIN(ROUNDUP('Town inputs'!$E$56*IF('Assumptions'!$D$3="Downside",'Town inputs'!$D$77,IF('Assumptions'!$D$3="Upside",'Town inputs'!$D$78,1)),0),ROUNDUP(('Town inputs'!$J$37+(I305-1)*'Town inputs'!$D$56)*IF('Assumptions'!$D$3="Downside",'Town inputs'!$D$77,IF('Assumptions'!$D$3="Upside",'Town inputs'!$D$78,1)),0)))</x:f>
        <x:v>6</x:v>
      </x:c>
      <x:c r="J310" s="49" t="n">
        <x:f>IF(J305=0,0,MIN(ROUNDUP('Town inputs'!$E$56*IF('Assumptions'!$D$3="Downside",'Town inputs'!$D$77,IF('Assumptions'!$D$3="Upside",'Town inputs'!$D$78,1)),0),ROUNDUP(('Town inputs'!$J$37+(J305-1)*'Town inputs'!$D$56)*IF('Assumptions'!$D$3="Downside",'Town inputs'!$D$77,IF('Assumptions'!$D$3="Upside",'Town inputs'!$D$78,1)),0)))</x:f>
        <x:v>12</x:v>
      </x:c>
      <x:c r="K310" s="1"/>
      <x:c r="L310" s="1"/>
      <x:c r="M310" s="1"/>
    </x:row>
    <x:row r="311" ht="22" customHeight="1">
      <x:c r="A311" s="1"/>
      <x:c r="B311" s="1"/>
      <x:c r="C311" s="1" t="str">
        <x:v>Household capacity</x:v>
      </x:c>
      <x:c r="D311" s="49" t="n">
        <x:f>D310*'Assumptions'!$D$72</x:f>
        <x:v>0</x:v>
      </x:c>
      <x:c r="E311" s="49" t="n">
        <x:f>E310*'Assumptions'!$D$72</x:f>
        <x:v>0</x:v>
      </x:c>
      <x:c r="F311" s="49" t="n">
        <x:f>F310*'Assumptions'!$D$72</x:f>
        <x:v>0</x:v>
      </x:c>
      <x:c r="G311" s="49" t="n">
        <x:f>G310*'Assumptions'!$D$72</x:f>
        <x:v>0</x:v>
      </x:c>
      <x:c r="H311" s="49" t="n">
        <x:f>H310*'Assumptions'!$D$72</x:f>
        <x:v>0</x:v>
      </x:c>
      <x:c r="I311" s="49" t="n">
        <x:f>I310*'Assumptions'!$D$72</x:f>
        <x:v>240</x:v>
      </x:c>
      <x:c r="J311" s="49" t="n">
        <x:f>J310*'Assumptions'!$D$72</x:f>
        <x:v>480</x:v>
      </x:c>
      <x:c r="K311" s="1"/>
      <x:c r="L311" s="1"/>
      <x:c r="M311" s="1"/>
    </x:row>
    <x:row r="312" ht="22" customHeight="1">
      <x:c r="A312" s="1"/>
      <x:c r="B312" s="1"/>
      <x:c r="C312" s="1" t="str">
        <x:v>Unconstrained new demand</x:v>
      </x:c>
      <x:c r="D312" s="49" t="n">
        <x:f>MAX(0,D306-D309)*MIN(1,MIN('Town inputs'!$D$65,'Town inputs'!$D$63+MAX(0,D305-1)*'Town inputs'!$D$64)*IF('Assumptions'!$D$3="Downside",'Town inputs'!$D$75,IF('Assumptions'!$D$3="Upside",'Town inputs'!$D$76,1)))</x:f>
        <x:v>0</x:v>
      </x:c>
      <x:c r="E312" s="49" t="n">
        <x:f>MAX(0,E306-E309)*MIN(1,MIN('Town inputs'!$D$65,'Town inputs'!$D$63+MAX(0,E305-1)*'Town inputs'!$D$64)*IF('Assumptions'!$D$3="Downside",'Town inputs'!$D$75,IF('Assumptions'!$D$3="Upside",'Town inputs'!$D$76,1)))</x:f>
        <x:v>0</x:v>
      </x:c>
      <x:c r="F312" s="49" t="n">
        <x:f>MAX(0,F306-F309)*MIN(1,MIN('Town inputs'!$D$65,'Town inputs'!$D$63+MAX(0,F305-1)*'Town inputs'!$D$64)*IF('Assumptions'!$D$3="Downside",'Town inputs'!$D$75,IF('Assumptions'!$D$3="Upside",'Town inputs'!$D$76,1)))</x:f>
        <x:v>0</x:v>
      </x:c>
      <x:c r="G312" s="49" t="n">
        <x:f>MAX(0,G306-G309)*MIN(1,MIN('Town inputs'!$D$65,'Town inputs'!$D$63+MAX(0,G305-1)*'Town inputs'!$D$64)*IF('Assumptions'!$D$3="Downside",'Town inputs'!$D$75,IF('Assumptions'!$D$3="Upside",'Town inputs'!$D$76,1)))</x:f>
        <x:v>0</x:v>
      </x:c>
      <x:c r="H312" s="49" t="n">
        <x:f>MAX(0,H306-H309)*MIN(1,MIN('Town inputs'!$D$65,'Town inputs'!$D$63+MAX(0,H305-1)*'Town inputs'!$D$64)*IF('Assumptions'!$D$3="Downside",'Town inputs'!$D$75,IF('Assumptions'!$D$3="Upside",'Town inputs'!$D$76,1)))</x:f>
        <x:v>0</x:v>
      </x:c>
      <x:c r="I312" s="49" t="n">
        <x:f>MAX(0,I306-I309)*MIN(1,MIN('Town inputs'!$D$65,'Town inputs'!$D$63+MAX(0,I305-1)*'Town inputs'!$D$64)*IF('Assumptions'!$D$3="Downside",'Town inputs'!$D$75,IF('Assumptions'!$D$3="Upside",'Town inputs'!$D$76,1)))</x:f>
        <x:v>260.29220879999997</x:v>
      </x:c>
      <x:c r="J312" s="49" t="n">
        <x:f>MAX(0,J306-J309)*MIN(1,MIN('Town inputs'!$D$65,'Town inputs'!$D$63+MAX(0,J305-1)*'Town inputs'!$D$64)*IF('Assumptions'!$D$3="Downside",'Town inputs'!$D$75,IF('Assumptions'!$D$3="Upside",'Town inputs'!$D$76,1)))</x:f>
        <x:v>301.365261</x:v>
      </x:c>
      <x:c r="K312" s="1"/>
      <x:c r="L312" s="1"/>
      <x:c r="M312" s="1"/>
    </x:row>
    <x:row r="313" ht="22" customHeight="1">
      <x:c r="A313" s="1"/>
      <x:c r="B313" s="1"/>
      <x:c r="C313" s="1" t="str">
        <x:v>New first-time households</x:v>
      </x:c>
      <x:c r="D313" s="11" t="n">
        <x:f>MIN(D312,MAX(0,D311-D308))</x:f>
        <x:v>0</x:v>
      </x:c>
      <x:c r="E313" s="11" t="n">
        <x:f>MIN(E312,MAX(0,E311-E308))</x:f>
        <x:v>0</x:v>
      </x:c>
      <x:c r="F313" s="11" t="n">
        <x:f>MIN(F312,MAX(0,F311-F308))</x:f>
        <x:v>0</x:v>
      </x:c>
      <x:c r="G313" s="11" t="n">
        <x:f>MIN(G312,MAX(0,G311-G308))</x:f>
        <x:v>0</x:v>
      </x:c>
      <x:c r="H313" s="11" t="n">
        <x:f>MIN(H312,MAX(0,H311-H308))</x:f>
        <x:v>0</x:v>
      </x:c>
      <x:c r="I313" s="11" t="n">
        <x:f>MIN(I312,MAX(0,I311-I308))</x:f>
        <x:v>240</x:v>
      </x:c>
      <x:c r="J313" s="11" t="n">
        <x:f>MIN(J312,MAX(0,J311-J308))</x:f>
        <x:v>288</x:v>
      </x:c>
      <x:c r="K313" s="1"/>
      <x:c r="L313" s="1"/>
      <x:c r="M313" s="1"/>
    </x:row>
    <x:row r="314" ht="22" customHeight="1">
      <x:c r="A314" s="1"/>
      <x:c r="B314" s="1"/>
      <x:c r="C314" s="1" t="str">
        <x:v>Ending active households</x:v>
      </x:c>
      <x:c r="D314" s="11" t="n">
        <x:f>D308+D313</x:f>
        <x:v>0</x:v>
      </x:c>
      <x:c r="E314" s="11" t="n">
        <x:f>E308+E313</x:f>
        <x:v>0</x:v>
      </x:c>
      <x:c r="F314" s="11" t="n">
        <x:f>F308+F313</x:f>
        <x:v>0</x:v>
      </x:c>
      <x:c r="G314" s="11" t="n">
        <x:f>G308+G313</x:f>
        <x:v>0</x:v>
      </x:c>
      <x:c r="H314" s="11" t="n">
        <x:f>H308+H313</x:f>
        <x:v>0</x:v>
      </x:c>
      <x:c r="I314" s="11" t="n">
        <x:f>I308+I313</x:f>
        <x:v>240</x:v>
      </x:c>
      <x:c r="J314" s="11" t="n">
        <x:f>J308+J313</x:f>
        <x:v>480</x:v>
      </x:c>
      <x:c r="K314" s="1"/>
      <x:c r="L314" s="1"/>
      <x:c r="M314" s="1"/>
    </x:row>
    <x:row r="315" ht="22" customHeight="1">
      <x:c r="A315" s="1"/>
      <x:c r="B315" s="1"/>
      <x:c r="C315" s="1" t="str">
        <x:v>Full-season equivalent households</x:v>
      </x:c>
      <x:c r="D315" s="49" t="n">
        <x:f>D308+D313*'Assumptions'!$D$71</x:f>
        <x:v>0</x:v>
      </x:c>
      <x:c r="E315" s="49" t="n">
        <x:f>E308+E313*'Assumptions'!$D$71</x:f>
        <x:v>0</x:v>
      </x:c>
      <x:c r="F315" s="49" t="n">
        <x:f>F308+F313*'Assumptions'!$D$71</x:f>
        <x:v>0</x:v>
      </x:c>
      <x:c r="G315" s="49" t="n">
        <x:f>G308+G313*'Assumptions'!$D$71</x:f>
        <x:v>0</x:v>
      </x:c>
      <x:c r="H315" s="49" t="n">
        <x:f>H308+H313*'Assumptions'!$D$71</x:f>
        <x:v>0</x:v>
      </x:c>
      <x:c r="I315" s="49" t="n">
        <x:f>I308+I313*'Assumptions'!$D$71</x:f>
        <x:v>120</x:v>
      </x:c>
      <x:c r="J315" s="49" t="n">
        <x:f>J308+J313*'Assumptions'!$D$71</x:f>
        <x:v>336</x:v>
      </x:c>
      <x:c r="K315" s="1"/>
      <x:c r="L315" s="1"/>
      <x:c r="M315" s="1"/>
    </x:row>
    <x:row r="316" ht="22" customHeight="1">
      <x:c r="A316" s="1"/>
      <x:c r="B316" s="1"/>
      <x:c r="C316" s="1" t="str">
        <x:v>Cumulative ever-acquired households</x:v>
      </x:c>
      <x:c r="D316" s="11" t="n">
        <x:f>D309+D313</x:f>
        <x:v>0</x:v>
      </x:c>
      <x:c r="E316" s="11" t="n">
        <x:f>E309+E313</x:f>
        <x:v>0</x:v>
      </x:c>
      <x:c r="F316" s="11" t="n">
        <x:f>F309+F313</x:f>
        <x:v>0</x:v>
      </x:c>
      <x:c r="G316" s="11" t="n">
        <x:f>G309+G313</x:f>
        <x:v>0</x:v>
      </x:c>
      <x:c r="H316" s="11" t="n">
        <x:f>H309+H313</x:f>
        <x:v>0</x:v>
      </x:c>
      <x:c r="I316" s="11" t="n">
        <x:f>I309+I313</x:f>
        <x:v>240</x:v>
      </x:c>
      <x:c r="J316" s="11" t="n">
        <x:f>J309+J313</x:f>
        <x:v>528</x:v>
      </x:c>
      <x:c r="K316" s="1"/>
      <x:c r="L316" s="1"/>
      <x:c r="M316" s="1"/>
    </x:row>
    <x:row r="317" ht="22" customHeight="1">
      <x:c r="A317" s="1"/>
      <x:c r="B317" s="1"/>
      <x:c r="C317" s="1" t="str">
        <x:v>Ending payout-active providers</x:v>
      </x:c>
      <x:c r="D317" s="49" t="n">
        <x:f>MIN(D310,ROUNDUP(D314/'Assumptions'!$D$72,0))</x:f>
        <x:v>0</x:v>
      </x:c>
      <x:c r="E317" s="49" t="n">
        <x:f>MIN(E310,ROUNDUP(E314/'Assumptions'!$D$72,0))</x:f>
        <x:v>0</x:v>
      </x:c>
      <x:c r="F317" s="49" t="n">
        <x:f>MIN(F310,ROUNDUP(F314/'Assumptions'!$D$72,0))</x:f>
        <x:v>0</x:v>
      </x:c>
      <x:c r="G317" s="49" t="n">
        <x:f>MIN(G310,ROUNDUP(G314/'Assumptions'!$D$72,0))</x:f>
        <x:v>0</x:v>
      </x:c>
      <x:c r="H317" s="49" t="n">
        <x:f>MIN(H310,ROUNDUP(H314/'Assumptions'!$D$72,0))</x:f>
        <x:v>0</x:v>
      </x:c>
      <x:c r="I317" s="49" t="n">
        <x:f>MIN(I310,ROUNDUP(I314/'Assumptions'!$D$72,0))</x:f>
        <x:v>6</x:v>
      </x:c>
      <x:c r="J317" s="49" t="n">
        <x:f>MIN(J310,ROUNDUP(J314/'Assumptions'!$D$72,0))</x:f>
        <x:v>12</x:v>
      </x:c>
      <x:c r="K317" s="1"/>
      <x:c r="L317" s="1"/>
      <x:c r="M317" s="1"/>
    </x:row>
    <x:row r="318" ht="22" customHeight="1">
      <x:c r="A318" s="1"/>
      <x:c r="B318" s="1"/>
      <x:c r="C318" s="1" t="str">
        <x:v>Retained active providers</x:v>
      </x:c>
      <x:c r="D318" s="11" t="n">
        <x:f>0</x:f>
        <x:v>0</x:v>
      </x:c>
      <x:c r="E318" s="49" t="n">
        <x:f>D317*'Assumptions'!$D$73</x:f>
        <x:v>0</x:v>
      </x:c>
      <x:c r="F318" s="49" t="n">
        <x:f>E317*'Assumptions'!$D$73</x:f>
        <x:v>0</x:v>
      </x:c>
      <x:c r="G318" s="49" t="n">
        <x:f>F317*'Assumptions'!$D$73</x:f>
        <x:v>0</x:v>
      </x:c>
      <x:c r="H318" s="49" t="n">
        <x:f>G317*'Assumptions'!$D$73</x:f>
        <x:v>0</x:v>
      </x:c>
      <x:c r="I318" s="49" t="n">
        <x:f>H317*'Assumptions'!$D$73</x:f>
        <x:v>0</x:v>
      </x:c>
      <x:c r="J318" s="49" t="n">
        <x:f>I317*'Assumptions'!$D$73</x:f>
        <x:v>5.1</x:v>
      </x:c>
      <x:c r="K318" s="1"/>
      <x:c r="L318" s="1"/>
      <x:c r="M318" s="1"/>
    </x:row>
    <x:row r="319" ht="22" customHeight="1">
      <x:c r="A319" s="1"/>
      <x:c r="B319" s="1"/>
      <x:c r="C319" s="1" t="str">
        <x:v>New / replacement active providers</x:v>
      </x:c>
      <x:c r="D319" s="11" t="n">
        <x:f>MAX(0,D317-D318)</x:f>
        <x:v>0</x:v>
      </x:c>
      <x:c r="E319" s="11" t="n">
        <x:f>MAX(0,E317-E318)</x:f>
        <x:v>0</x:v>
      </x:c>
      <x:c r="F319" s="11" t="n">
        <x:f>MAX(0,F317-F318)</x:f>
        <x:v>0</x:v>
      </x:c>
      <x:c r="G319" s="11" t="n">
        <x:f>MAX(0,G317-G318)</x:f>
        <x:v>0</x:v>
      </x:c>
      <x:c r="H319" s="11" t="n">
        <x:f>MAX(0,H317-H318)</x:f>
        <x:v>0</x:v>
      </x:c>
      <x:c r="I319" s="11" t="n">
        <x:f>MAX(0,I317-I318)</x:f>
        <x:v>6</x:v>
      </x:c>
      <x:c r="J319" s="11" t="n">
        <x:f>MAX(0,J317-J318)</x:f>
        <x:v>6.9</x:v>
      </x:c>
      <x:c r="K319" s="1"/>
      <x:c r="L319" s="1"/>
      <x:c r="M319" s="1"/>
    </x:row>
    <x:row r="320" ht="22" customHeight="1">
      <x:c r="A320" s="1"/>
      <x:c r="B320" s="1"/>
      <x:c r="C320" s="1" t="str">
        <x:v>Average payout-active providers</x:v>
      </x:c>
      <x:c r="D320" s="49" t="n">
        <x:f>D318+D319*'Assumptions'!$D$71</x:f>
        <x:v>0</x:v>
      </x:c>
      <x:c r="E320" s="49" t="n">
        <x:f>E318+E319*'Assumptions'!$D$71</x:f>
        <x:v>0</x:v>
      </x:c>
      <x:c r="F320" s="49" t="n">
        <x:f>F318+F319*'Assumptions'!$D$71</x:f>
        <x:v>0</x:v>
      </x:c>
      <x:c r="G320" s="49" t="n">
        <x:f>G318+G319*'Assumptions'!$D$71</x:f>
        <x:v>0</x:v>
      </x:c>
      <x:c r="H320" s="49" t="n">
        <x:f>H318+H319*'Assumptions'!$D$71</x:f>
        <x:v>0</x:v>
      </x:c>
      <x:c r="I320" s="49" t="n">
        <x:f>I318+I319*'Assumptions'!$D$71</x:f>
        <x:v>3</x:v>
      </x:c>
      <x:c r="J320" s="49" t="n">
        <x:f>J318+J319*'Assumptions'!$D$71</x:f>
        <x:v>8.55</x:v>
      </x:c>
      <x:c r="K320" s="1"/>
      <x:c r="L320" s="1"/>
      <x:c r="M320" s="1"/>
    </x:row>
    <x:row r="321" ht="22" customHeight="1">
      <x:c r="A321" s="1"/>
      <x:c r="B321" s="1"/>
      <x:c r="C321" s="1" t="str">
        <x:v>Cash acquisition spend</x:v>
      </x:c>
      <x:c r="D321" s="50" t="n">
        <x:f>D313*'Town inputs'!$F$56*(1-'Town inputs'!$D$66)^0*IF('Assumptions'!$D$3="Downside",'Town inputs'!$D$79,IF('Assumptions'!$D$3="Upside",'Town inputs'!$D$80,1))*(1+('Town inputs'!$D$103/'Town inputs'!$D$104-1)*0/6)</x:f>
        <x:v>0</x:v>
      </x:c>
      <x:c r="E321" s="50" t="n">
        <x:f>E313*'Town inputs'!$F$56*(1-'Town inputs'!$D$66)^1*IF('Assumptions'!$D$3="Downside",'Town inputs'!$D$79,IF('Assumptions'!$D$3="Upside",'Town inputs'!$D$80,1))*(1+('Town inputs'!$D$103/'Town inputs'!$D$104-1)*1/6)</x:f>
        <x:v>0</x:v>
      </x:c>
      <x:c r="F321" s="50" t="n">
        <x:f>F313*'Town inputs'!$F$56*(1-'Town inputs'!$D$66)^2*IF('Assumptions'!$D$3="Downside",'Town inputs'!$D$79,IF('Assumptions'!$D$3="Upside",'Town inputs'!$D$80,1))*(1+('Town inputs'!$D$103/'Town inputs'!$D$104-1)*2/6)</x:f>
        <x:v>0</x:v>
      </x:c>
      <x:c r="G321" s="50" t="n">
        <x:f>G313*'Town inputs'!$F$56*(1-'Town inputs'!$D$66)^3*IF('Assumptions'!$D$3="Downside",'Town inputs'!$D$79,IF('Assumptions'!$D$3="Upside",'Town inputs'!$D$80,1))*(1+('Town inputs'!$D$103/'Town inputs'!$D$104-1)*3/6)</x:f>
        <x:v>0</x:v>
      </x:c>
      <x:c r="H321" s="50" t="n">
        <x:f>H313*'Town inputs'!$F$56*(1-'Town inputs'!$D$66)^4*IF('Assumptions'!$D$3="Downside",'Town inputs'!$D$79,IF('Assumptions'!$D$3="Upside",'Town inputs'!$D$80,1))*(1+('Town inputs'!$D$103/'Town inputs'!$D$104-1)*4/6)</x:f>
        <x:v>0</x:v>
      </x:c>
      <x:c r="I321" s="50" t="n">
        <x:f>I313*'Town inputs'!$F$56*(1-'Town inputs'!$D$66)^5*IF('Assumptions'!$D$3="Downside",'Town inputs'!$D$79,IF('Assumptions'!$D$3="Upside",'Town inputs'!$D$80,1))*(1+('Town inputs'!$D$103/'Town inputs'!$D$104-1)*5/6)</x:f>
        <x:v>13385.977909003672</x:v>
      </x:c>
      <x:c r="J321" s="50" t="n">
        <x:f>J313*'Town inputs'!$F$56*(1-'Town inputs'!$D$66)^6*IF('Assumptions'!$D$3="Downside",'Town inputs'!$D$79,IF('Assumptions'!$D$3="Upside",'Town inputs'!$D$80,1))*(1+('Town inputs'!$D$103/'Town inputs'!$D$104-1)*6/6)</x:f>
        <x:v>14924.714347517025</x:v>
      </x:c>
      <x:c r="K321" s="1"/>
      <x:c r="L321" s="1"/>
      <x:c r="M321" s="1"/>
    </x:row>
    <x:row r="322" ht="22" customHeight="1">
      <x:c r="A322" s="1"/>
      <x:c r="B322" s="1"/>
      <x:c r="C322" s="1" t="str">
        <x:v>Launch spend</x:v>
      </x:c>
      <x:c r="D322" s="50" t="n">
        <x:f>IF(D305=1,'Town inputs'!$G$56*(1+'Town inputs'!$D$67)^0,0)</x:f>
        <x:v>0</x:v>
      </x:c>
      <x:c r="E322" s="50" t="n">
        <x:f>IF(E305=1,'Town inputs'!$G$56*(1+'Town inputs'!$D$67)^1,0)</x:f>
        <x:v>0</x:v>
      </x:c>
      <x:c r="F322" s="50" t="n">
        <x:f>IF(F305=1,'Town inputs'!$G$56*(1+'Town inputs'!$D$67)^2,0)</x:f>
        <x:v>0</x:v>
      </x:c>
      <x:c r="G322" s="50" t="n">
        <x:f>IF(G305=1,'Town inputs'!$G$56*(1+'Town inputs'!$D$67)^3,0)</x:f>
        <x:v>0</x:v>
      </x:c>
      <x:c r="H322" s="50" t="n">
        <x:f>IF(H305=1,'Town inputs'!$G$56*(1+'Town inputs'!$D$67)^4,0)</x:f>
        <x:v>0</x:v>
      </x:c>
      <x:c r="I322" s="50" t="n">
        <x:f>IF(I305=1,'Town inputs'!$G$56*(1+'Town inputs'!$D$67)^5,0)</x:f>
        <x:v>23185.481486</x:v>
      </x:c>
      <x:c r="J322" s="50" t="n">
        <x:f>IF(J305=1,'Town inputs'!$G$56*(1+'Town inputs'!$D$67)^6,0)</x:f>
        <x:v>0</x:v>
      </x:c>
      <x:c r="K322" s="1"/>
      <x:c r="L322" s="1"/>
      <x:c r="M322" s="1"/>
    </x:row>
    <x:row r="323" ht="22" customHeight="1">
      <x:c r="A323" s="1"/>
      <x:c r="B323" s="1"/>
      <x:c r="C323" s="1" t="str">
        <x:v>Annual local coverage</x:v>
      </x:c>
      <x:c r="D323" s="50" t="n">
        <x:f>IF(D305&gt;0,'Town inputs'!$H$56*(1+'Town inputs'!$D$67)^0*IF(D305=1,'Assumptions'!$D$71,1),0)</x:f>
        <x:v>0</x:v>
      </x:c>
      <x:c r="E323" s="50" t="n">
        <x:f>IF(E305&gt;0,'Town inputs'!$H$56*(1+'Town inputs'!$D$67)^1*IF(E305=1,'Assumptions'!$D$71,1),0)</x:f>
        <x:v>0</x:v>
      </x:c>
      <x:c r="F323" s="50" t="n">
        <x:f>IF(F305&gt;0,'Town inputs'!$H$56*(1+'Town inputs'!$D$67)^2*IF(F305=1,'Assumptions'!$D$71,1),0)</x:f>
        <x:v>0</x:v>
      </x:c>
      <x:c r="G323" s="50" t="n">
        <x:f>IF(G305&gt;0,'Town inputs'!$H$56*(1+'Town inputs'!$D$67)^3*IF(G305=1,'Assumptions'!$D$71,1),0)</x:f>
        <x:v>0</x:v>
      </x:c>
      <x:c r="H323" s="50" t="n">
        <x:f>IF(H305&gt;0,'Town inputs'!$H$56*(1+'Town inputs'!$D$67)^4*IF(H305=1,'Assumptions'!$D$71,1),0)</x:f>
        <x:v>0</x:v>
      </x:c>
      <x:c r="I323" s="50" t="n">
        <x:f>IF(I305&gt;0,'Town inputs'!$H$56*(1+'Town inputs'!$D$67)^5*IF(I305=1,'Assumptions'!$D$71,1),0)</x:f>
        <x:v>4637.096297200001</x:v>
      </x:c>
      <x:c r="J323" s="50" t="n">
        <x:f>IF(J305&gt;0,'Town inputs'!$H$56*(1+'Town inputs'!$D$67)^6*IF(J305=1,'Assumptions'!$D$71,1),0)</x:f>
        <x:v>9552.418372232001</x:v>
      </x:c>
      <x:c r="K323" s="1"/>
      <x:c r="L323" s="1"/>
      <x:c r="M323" s="1"/>
    </x:row>
    <x:row r="324" ht="22" customHeight="1">
      <x:c r="A324" s="1"/>
      <x:c r="B324" s="1"/>
      <x:c r="C324" s="1"/>
      <x:c r="D324" s="6"/>
      <x:c r="E324" s="6"/>
      <x:c r="F324" s="6"/>
      <x:c r="G324" s="6"/>
      <x:c r="H324" s="6"/>
      <x:c r="I324" s="6"/>
      <x:c r="J324" s="6"/>
      <x:c r="K324" s="1"/>
      <x:c r="L324" s="1"/>
      <x:c r="M324" s="1"/>
    </x:row>
    <x:row r="325" ht="22" customHeight="1">
      <x:c r="A325" s="1"/>
      <x:c r="B325" s="1"/>
      <x:c r="C325" s="1"/>
      <x:c r="D325" s="6"/>
      <x:c r="E325" s="6"/>
      <x:c r="F325" s="6"/>
      <x:c r="G325" s="6"/>
      <x:c r="H325" s="6"/>
      <x:c r="I325" s="6"/>
      <x:c r="J325" s="6"/>
      <x:c r="K325" s="1"/>
      <x:c r="L325" s="1"/>
      <x:c r="M325" s="1"/>
    </x:row>
    <x:row r="326" ht="22" customHeight="1">
      <x:c r="A326" s="1"/>
      <x:c r="B326" s="1"/>
      <x:c r="C326" s="5" t="str">
        <x:v>Colts Neck | Monmouth County</x:v>
      </x:c>
      <x:c r="D326" s="26"/>
      <x:c r="E326" s="26"/>
      <x:c r="F326" s="26"/>
      <x:c r="G326" s="26"/>
      <x:c r="H326" s="26"/>
      <x:c r="I326" s="26"/>
      <x:c r="J326" s="26"/>
      <x:c r="K326" s="1"/>
      <x:c r="L326" s="1"/>
      <x:c r="M326" s="1"/>
    </x:row>
    <x:row r="327" ht="22" customHeight="1">
      <x:c r="A327" s="1"/>
      <x:c r="B327" s="1"/>
      <x:c r="C327" s="1" t="str">
        <x:v>Years since launch</x:v>
      </x:c>
      <x:c r="D327" s="49" t="n">
        <x:f>MAX(0,2027-'Town inputs'!$D$38+1)</x:f>
        <x:v>0</x:v>
      </x:c>
      <x:c r="E327" s="49" t="n">
        <x:f>MAX(0,2028-'Town inputs'!$D$38+1)</x:f>
        <x:v>0</x:v>
      </x:c>
      <x:c r="F327" s="49" t="n">
        <x:f>MAX(0,2029-'Town inputs'!$D$38+1)</x:f>
        <x:v>0</x:v>
      </x:c>
      <x:c r="G327" s="49" t="n">
        <x:f>MAX(0,2030-'Town inputs'!$D$38+1)</x:f>
        <x:v>0</x:v>
      </x:c>
      <x:c r="H327" s="49" t="n">
        <x:f>MAX(0,2031-'Town inputs'!$D$38+1)</x:f>
        <x:v>0</x:v>
      </x:c>
      <x:c r="I327" s="49" t="n">
        <x:f>MAX(0,2032-'Town inputs'!$D$38+1)</x:f>
        <x:v>0</x:v>
      </x:c>
      <x:c r="J327" s="49" t="n">
        <x:f>MAX(0,2033-'Town inputs'!$D$38+1)</x:f>
        <x:v>1</x:v>
      </x:c>
      <x:c r="K327" s="1"/>
      <x:c r="L327" s="1"/>
      <x:c r="M327" s="1"/>
    </x:row>
    <x:row r="328" ht="22" customHeight="1">
      <x:c r="A328" s="1"/>
      <x:c r="B328" s="1"/>
      <x:c r="C328" s="1" t="str">
        <x:v>Assumed outsourcing pool</x:v>
      </x:c>
      <x:c r="D328" s="49" t="n">
        <x:f>IF(D327&gt;0,'Town inputs'!$D$19*'Town inputs'!$E$19*'Town inputs'!$E$38*MIN(1,'Town inputs'!$F$38*IF('Assumptions'!$D$3="Downside",'Town inputs'!$D$73,IF('Assumptions'!$D$3="Upside",'Town inputs'!$D$74,1))),0)</x:f>
        <x:v>0</x:v>
      </x:c>
      <x:c r="E328" s="49" t="n">
        <x:f>IF(E327&gt;0,'Town inputs'!$D$19*'Town inputs'!$E$19*'Town inputs'!$E$38*MIN(1,'Town inputs'!$F$38*IF('Assumptions'!$D$3="Downside",'Town inputs'!$D$73,IF('Assumptions'!$D$3="Upside",'Town inputs'!$D$74,1))),0)</x:f>
        <x:v>0</x:v>
      </x:c>
      <x:c r="F328" s="49" t="n">
        <x:f>IF(F327&gt;0,'Town inputs'!$D$19*'Town inputs'!$E$19*'Town inputs'!$E$38*MIN(1,'Town inputs'!$F$38*IF('Assumptions'!$D$3="Downside",'Town inputs'!$D$73,IF('Assumptions'!$D$3="Upside",'Town inputs'!$D$74,1))),0)</x:f>
        <x:v>0</x:v>
      </x:c>
      <x:c r="G328" s="49" t="n">
        <x:f>IF(G327&gt;0,'Town inputs'!$D$19*'Town inputs'!$E$19*'Town inputs'!$E$38*MIN(1,'Town inputs'!$F$38*IF('Assumptions'!$D$3="Downside",'Town inputs'!$D$73,IF('Assumptions'!$D$3="Upside",'Town inputs'!$D$74,1))),0)</x:f>
        <x:v>0</x:v>
      </x:c>
      <x:c r="H328" s="49" t="n">
        <x:f>IF(H327&gt;0,'Town inputs'!$D$19*'Town inputs'!$E$19*'Town inputs'!$E$38*MIN(1,'Town inputs'!$F$38*IF('Assumptions'!$D$3="Downside",'Town inputs'!$D$73,IF('Assumptions'!$D$3="Upside",'Town inputs'!$D$74,1))),0)</x:f>
        <x:v>0</x:v>
      </x:c>
      <x:c r="I328" s="49" t="n">
        <x:f>IF(I327&gt;0,'Town inputs'!$D$19*'Town inputs'!$E$19*'Town inputs'!$E$38*MIN(1,'Town inputs'!$F$38*IF('Assumptions'!$D$3="Downside",'Town inputs'!$D$73,IF('Assumptions'!$D$3="Upside",'Town inputs'!$D$74,1))),0)</x:f>
        <x:v>0</x:v>
      </x:c>
      <x:c r="J328" s="49" t="n">
        <x:f>IF(J327&gt;0,'Town inputs'!$D$19*'Town inputs'!$E$19*'Town inputs'!$E$38*MIN(1,'Town inputs'!$F$38*IF('Assumptions'!$D$3="Downside",'Town inputs'!$D$73,IF('Assumptions'!$D$3="Upside",'Town inputs'!$D$74,1))),0)</x:f>
        <x:v>1991.4745500000001</x:v>
      </x:c>
      <x:c r="K328" s="1"/>
      <x:c r="L328" s="1"/>
      <x:c r="M328" s="1"/>
    </x:row>
    <x:row r="329" ht="22" customHeight="1">
      <x:c r="A329" s="1"/>
      <x:c r="B329" s="1"/>
      <x:c r="C329" s="1" t="str">
        <x:v>Opening active households</x:v>
      </x:c>
      <x:c r="D329" s="11" t="n">
        <x:f>0</x:f>
        <x:v>0</x:v>
      </x:c>
      <x:c r="E329" s="11" t="n">
        <x:f>D336</x:f>
        <x:v>0</x:v>
      </x:c>
      <x:c r="F329" s="11" t="n">
        <x:f>E336</x:f>
        <x:v>0</x:v>
      </x:c>
      <x:c r="G329" s="11" t="n">
        <x:f>F336</x:f>
        <x:v>0</x:v>
      </x:c>
      <x:c r="H329" s="11" t="n">
        <x:f>G336</x:f>
        <x:v>0</x:v>
      </x:c>
      <x:c r="I329" s="11" t="n">
        <x:f>H336</x:f>
        <x:v>0</x:v>
      </x:c>
      <x:c r="J329" s="11" t="n">
        <x:f>I336</x:f>
        <x:v>0</x:v>
      </x:c>
      <x:c r="K329" s="1"/>
      <x:c r="L329" s="1"/>
      <x:c r="M329" s="1"/>
    </x:row>
    <x:row r="330" ht="22" customHeight="1">
      <x:c r="A330" s="1"/>
      <x:c r="B330" s="1"/>
      <x:c r="C330" s="1" t="str">
        <x:v>Retained households</x:v>
      </x:c>
      <x:c r="D330" s="49" t="n">
        <x:f>D329*'Assumptions'!D12</x:f>
        <x:v>0</x:v>
      </x:c>
      <x:c r="E330" s="49" t="n">
        <x:f>E329*'Assumptions'!E12</x:f>
        <x:v>0</x:v>
      </x:c>
      <x:c r="F330" s="49" t="n">
        <x:f>F329*'Assumptions'!F12</x:f>
        <x:v>0</x:v>
      </x:c>
      <x:c r="G330" s="49" t="n">
        <x:f>G329*'Assumptions'!G12</x:f>
        <x:v>0</x:v>
      </x:c>
      <x:c r="H330" s="49" t="n">
        <x:f>H329*'Assumptions'!H12</x:f>
        <x:v>0</x:v>
      </x:c>
      <x:c r="I330" s="49" t="n">
        <x:f>I329*'Assumptions'!I12</x:f>
        <x:v>0</x:v>
      </x:c>
      <x:c r="J330" s="49" t="n">
        <x:f>J329*'Assumptions'!J12</x:f>
        <x:v>0</x:v>
      </x:c>
      <x:c r="K330" s="1"/>
      <x:c r="L330" s="1"/>
      <x:c r="M330" s="1"/>
    </x:row>
    <x:row r="331" ht="22" customHeight="1">
      <x:c r="A331" s="1"/>
      <x:c r="B331" s="1"/>
      <x:c r="C331" s="1" t="str">
        <x:v>Previously acquired households</x:v>
      </x:c>
      <x:c r="D331" s="11" t="n">
        <x:f>0</x:f>
        <x:v>0</x:v>
      </x:c>
      <x:c r="E331" s="11" t="n">
        <x:f>D338</x:f>
        <x:v>0</x:v>
      </x:c>
      <x:c r="F331" s="11" t="n">
        <x:f>E338</x:f>
        <x:v>0</x:v>
      </x:c>
      <x:c r="G331" s="11" t="n">
        <x:f>F338</x:f>
        <x:v>0</x:v>
      </x:c>
      <x:c r="H331" s="11" t="n">
        <x:f>G338</x:f>
        <x:v>0</x:v>
      </x:c>
      <x:c r="I331" s="11" t="n">
        <x:f>H338</x:f>
        <x:v>0</x:v>
      </x:c>
      <x:c r="J331" s="11" t="n">
        <x:f>I338</x:f>
        <x:v>0</x:v>
      </x:c>
      <x:c r="K331" s="1"/>
      <x:c r="L331" s="1"/>
      <x:c r="M331" s="1"/>
    </x:row>
    <x:row r="332" ht="22" customHeight="1">
      <x:c r="A332" s="1"/>
      <x:c r="B332" s="1"/>
      <x:c r="C332" s="1" t="str">
        <x:v>Qualified provider capacity plan</x:v>
      </x:c>
      <x:c r="D332" s="49" t="n">
        <x:f>IF(D327=0,0,MIN(ROUNDUP('Town inputs'!$E$57*IF('Assumptions'!$D$3="Downside",'Town inputs'!$D$77,IF('Assumptions'!$D$3="Upside",'Town inputs'!$D$78,1)),0),ROUNDUP(('Town inputs'!$J$38+(D327-1)*'Town inputs'!$D$57)*IF('Assumptions'!$D$3="Downside",'Town inputs'!$D$77,IF('Assumptions'!$D$3="Upside",'Town inputs'!$D$78,1)),0)))</x:f>
        <x:v>0</x:v>
      </x:c>
      <x:c r="E332" s="49" t="n">
        <x:f>IF(E327=0,0,MIN(ROUNDUP('Town inputs'!$E$57*IF('Assumptions'!$D$3="Downside",'Town inputs'!$D$77,IF('Assumptions'!$D$3="Upside",'Town inputs'!$D$78,1)),0),ROUNDUP(('Town inputs'!$J$38+(E327-1)*'Town inputs'!$D$57)*IF('Assumptions'!$D$3="Downside",'Town inputs'!$D$77,IF('Assumptions'!$D$3="Upside",'Town inputs'!$D$78,1)),0)))</x:f>
        <x:v>0</x:v>
      </x:c>
      <x:c r="F332" s="49" t="n">
        <x:f>IF(F327=0,0,MIN(ROUNDUP('Town inputs'!$E$57*IF('Assumptions'!$D$3="Downside",'Town inputs'!$D$77,IF('Assumptions'!$D$3="Upside",'Town inputs'!$D$78,1)),0),ROUNDUP(('Town inputs'!$J$38+(F327-1)*'Town inputs'!$D$57)*IF('Assumptions'!$D$3="Downside",'Town inputs'!$D$77,IF('Assumptions'!$D$3="Upside",'Town inputs'!$D$78,1)),0)))</x:f>
        <x:v>0</x:v>
      </x:c>
      <x:c r="G332" s="49" t="n">
        <x:f>IF(G327=0,0,MIN(ROUNDUP('Town inputs'!$E$57*IF('Assumptions'!$D$3="Downside",'Town inputs'!$D$77,IF('Assumptions'!$D$3="Upside",'Town inputs'!$D$78,1)),0),ROUNDUP(('Town inputs'!$J$38+(G327-1)*'Town inputs'!$D$57)*IF('Assumptions'!$D$3="Downside",'Town inputs'!$D$77,IF('Assumptions'!$D$3="Upside",'Town inputs'!$D$78,1)),0)))</x:f>
        <x:v>0</x:v>
      </x:c>
      <x:c r="H332" s="49" t="n">
        <x:f>IF(H327=0,0,MIN(ROUNDUP('Town inputs'!$E$57*IF('Assumptions'!$D$3="Downside",'Town inputs'!$D$77,IF('Assumptions'!$D$3="Upside",'Town inputs'!$D$78,1)),0),ROUNDUP(('Town inputs'!$J$38+(H327-1)*'Town inputs'!$D$57)*IF('Assumptions'!$D$3="Downside",'Town inputs'!$D$77,IF('Assumptions'!$D$3="Upside",'Town inputs'!$D$78,1)),0)))</x:f>
        <x:v>0</x:v>
      </x:c>
      <x:c r="I332" s="49" t="n">
        <x:f>IF(I327=0,0,MIN(ROUNDUP('Town inputs'!$E$57*IF('Assumptions'!$D$3="Downside",'Town inputs'!$D$77,IF('Assumptions'!$D$3="Upside",'Town inputs'!$D$78,1)),0),ROUNDUP(('Town inputs'!$J$38+(I327-1)*'Town inputs'!$D$57)*IF('Assumptions'!$D$3="Downside",'Town inputs'!$D$77,IF('Assumptions'!$D$3="Upside",'Town inputs'!$D$78,1)),0)))</x:f>
        <x:v>0</x:v>
      </x:c>
      <x:c r="J332" s="49" t="n">
        <x:f>IF(J327=0,0,MIN(ROUNDUP('Town inputs'!$E$57*IF('Assumptions'!$D$3="Downside",'Town inputs'!$D$77,IF('Assumptions'!$D$3="Upside",'Town inputs'!$D$78,1)),0),ROUNDUP(('Town inputs'!$J$38+(J327-1)*'Town inputs'!$D$57)*IF('Assumptions'!$D$3="Downside",'Town inputs'!$D$77,IF('Assumptions'!$D$3="Upside",'Town inputs'!$D$78,1)),0)))</x:f>
        <x:v>4</x:v>
      </x:c>
      <x:c r="K332" s="1"/>
      <x:c r="L332" s="1"/>
      <x:c r="M332" s="1"/>
    </x:row>
    <x:row r="333" ht="22" customHeight="1">
      <x:c r="A333" s="1"/>
      <x:c r="B333" s="1"/>
      <x:c r="C333" s="1" t="str">
        <x:v>Household capacity</x:v>
      </x:c>
      <x:c r="D333" s="49" t="n">
        <x:f>D332*'Assumptions'!$D$72</x:f>
        <x:v>0</x:v>
      </x:c>
      <x:c r="E333" s="49" t="n">
        <x:f>E332*'Assumptions'!$D$72</x:f>
        <x:v>0</x:v>
      </x:c>
      <x:c r="F333" s="49" t="n">
        <x:f>F332*'Assumptions'!$D$72</x:f>
        <x:v>0</x:v>
      </x:c>
      <x:c r="G333" s="49" t="n">
        <x:f>G332*'Assumptions'!$D$72</x:f>
        <x:v>0</x:v>
      </x:c>
      <x:c r="H333" s="49" t="n">
        <x:f>H332*'Assumptions'!$D$72</x:f>
        <x:v>0</x:v>
      </x:c>
      <x:c r="I333" s="49" t="n">
        <x:f>I332*'Assumptions'!$D$72</x:f>
        <x:v>0</x:v>
      </x:c>
      <x:c r="J333" s="49" t="n">
        <x:f>J332*'Assumptions'!$D$72</x:f>
        <x:v>160</x:v>
      </x:c>
      <x:c r="K333" s="1"/>
      <x:c r="L333" s="1"/>
      <x:c r="M333" s="1"/>
    </x:row>
    <x:row r="334" ht="22" customHeight="1">
      <x:c r="A334" s="1"/>
      <x:c r="B334" s="1"/>
      <x:c r="C334" s="1" t="str">
        <x:v>Unconstrained new demand</x:v>
      </x:c>
      <x:c r="D334" s="49" t="n">
        <x:f>MAX(0,D328-D331)*MIN(1,MIN('Town inputs'!$D$65,'Town inputs'!$D$63+MAX(0,D327-1)*'Town inputs'!$D$64)*IF('Assumptions'!$D$3="Downside",'Town inputs'!$D$75,IF('Assumptions'!$D$3="Upside",'Town inputs'!$D$76,1)))</x:f>
        <x:v>0</x:v>
      </x:c>
      <x:c r="E334" s="49" t="n">
        <x:f>MAX(0,E328-E331)*MIN(1,MIN('Town inputs'!$D$65,'Town inputs'!$D$63+MAX(0,E327-1)*'Town inputs'!$D$64)*IF('Assumptions'!$D$3="Downside",'Town inputs'!$D$75,IF('Assumptions'!$D$3="Upside",'Town inputs'!$D$76,1)))</x:f>
        <x:v>0</x:v>
      </x:c>
      <x:c r="F334" s="49" t="n">
        <x:f>MAX(0,F328-F331)*MIN(1,MIN('Town inputs'!$D$65,'Town inputs'!$D$63+MAX(0,F327-1)*'Town inputs'!$D$64)*IF('Assumptions'!$D$3="Downside",'Town inputs'!$D$75,IF('Assumptions'!$D$3="Upside",'Town inputs'!$D$76,1)))</x:f>
        <x:v>0</x:v>
      </x:c>
      <x:c r="G334" s="49" t="n">
        <x:f>MAX(0,G328-G331)*MIN(1,MIN('Town inputs'!$D$65,'Town inputs'!$D$63+MAX(0,G327-1)*'Town inputs'!$D$64)*IF('Assumptions'!$D$3="Downside",'Town inputs'!$D$75,IF('Assumptions'!$D$3="Upside",'Town inputs'!$D$76,1)))</x:f>
        <x:v>0</x:v>
      </x:c>
      <x:c r="H334" s="49" t="n">
        <x:f>MAX(0,H328-H331)*MIN(1,MIN('Town inputs'!$D$65,'Town inputs'!$D$63+MAX(0,H327-1)*'Town inputs'!$D$64)*IF('Assumptions'!$D$3="Downside",'Town inputs'!$D$75,IF('Assumptions'!$D$3="Upside",'Town inputs'!$D$76,1)))</x:f>
        <x:v>0</x:v>
      </x:c>
      <x:c r="I334" s="49" t="n">
        <x:f>MAX(0,I328-I331)*MIN(1,MIN('Town inputs'!$D$65,'Town inputs'!$D$63+MAX(0,I327-1)*'Town inputs'!$D$64)*IF('Assumptions'!$D$3="Downside",'Town inputs'!$D$75,IF('Assumptions'!$D$3="Upside",'Town inputs'!$D$76,1)))</x:f>
        <x:v>0</x:v>
      </x:c>
      <x:c r="J334" s="49" t="n">
        <x:f>MAX(0,J328-J331)*MIN(1,MIN('Town inputs'!$D$65,'Town inputs'!$D$63+MAX(0,J327-1)*'Town inputs'!$D$64)*IF('Assumptions'!$D$3="Downside",'Town inputs'!$D$75,IF('Assumptions'!$D$3="Upside",'Town inputs'!$D$76,1)))</x:f>
        <x:v>159.31796400000002</x:v>
      </x:c>
      <x:c r="K334" s="1"/>
      <x:c r="L334" s="1"/>
      <x:c r="M334" s="1"/>
    </x:row>
    <x:row r="335" ht="22" customHeight="1">
      <x:c r="A335" s="1"/>
      <x:c r="B335" s="1"/>
      <x:c r="C335" s="1" t="str">
        <x:v>New first-time households</x:v>
      </x:c>
      <x:c r="D335" s="11" t="n">
        <x:f>MIN(D334,MAX(0,D333-D330))</x:f>
        <x:v>0</x:v>
      </x:c>
      <x:c r="E335" s="11" t="n">
        <x:f>MIN(E334,MAX(0,E333-E330))</x:f>
        <x:v>0</x:v>
      </x:c>
      <x:c r="F335" s="11" t="n">
        <x:f>MIN(F334,MAX(0,F333-F330))</x:f>
        <x:v>0</x:v>
      </x:c>
      <x:c r="G335" s="11" t="n">
        <x:f>MIN(G334,MAX(0,G333-G330))</x:f>
        <x:v>0</x:v>
      </x:c>
      <x:c r="H335" s="11" t="n">
        <x:f>MIN(H334,MAX(0,H333-H330))</x:f>
        <x:v>0</x:v>
      </x:c>
      <x:c r="I335" s="11" t="n">
        <x:f>MIN(I334,MAX(0,I333-I330))</x:f>
        <x:v>0</x:v>
      </x:c>
      <x:c r="J335" s="11" t="n">
        <x:f>MIN(J334,MAX(0,J333-J330))</x:f>
        <x:v>159.31796400000002</x:v>
      </x:c>
      <x:c r="K335" s="1"/>
      <x:c r="L335" s="1"/>
      <x:c r="M335" s="1"/>
    </x:row>
    <x:row r="336" ht="22" customHeight="1">
      <x:c r="A336" s="1"/>
      <x:c r="B336" s="1"/>
      <x:c r="C336" s="1" t="str">
        <x:v>Ending active households</x:v>
      </x:c>
      <x:c r="D336" s="11" t="n">
        <x:f>D330+D335</x:f>
        <x:v>0</x:v>
      </x:c>
      <x:c r="E336" s="11" t="n">
        <x:f>E330+E335</x:f>
        <x:v>0</x:v>
      </x:c>
      <x:c r="F336" s="11" t="n">
        <x:f>F330+F335</x:f>
        <x:v>0</x:v>
      </x:c>
      <x:c r="G336" s="11" t="n">
        <x:f>G330+G335</x:f>
        <x:v>0</x:v>
      </x:c>
      <x:c r="H336" s="11" t="n">
        <x:f>H330+H335</x:f>
        <x:v>0</x:v>
      </x:c>
      <x:c r="I336" s="11" t="n">
        <x:f>I330+I335</x:f>
        <x:v>0</x:v>
      </x:c>
      <x:c r="J336" s="11" t="n">
        <x:f>J330+J335</x:f>
        <x:v>159.31796400000002</x:v>
      </x:c>
      <x:c r="K336" s="1"/>
      <x:c r="L336" s="1"/>
      <x:c r="M336" s="1"/>
    </x:row>
    <x:row r="337" ht="22" customHeight="1">
      <x:c r="A337" s="1"/>
      <x:c r="B337" s="1"/>
      <x:c r="C337" s="1" t="str">
        <x:v>Full-season equivalent households</x:v>
      </x:c>
      <x:c r="D337" s="49" t="n">
        <x:f>D330+D335*'Assumptions'!$D$71</x:f>
        <x:v>0</x:v>
      </x:c>
      <x:c r="E337" s="49" t="n">
        <x:f>E330+E335*'Assumptions'!$D$71</x:f>
        <x:v>0</x:v>
      </x:c>
      <x:c r="F337" s="49" t="n">
        <x:f>F330+F335*'Assumptions'!$D$71</x:f>
        <x:v>0</x:v>
      </x:c>
      <x:c r="G337" s="49" t="n">
        <x:f>G330+G335*'Assumptions'!$D$71</x:f>
        <x:v>0</x:v>
      </x:c>
      <x:c r="H337" s="49" t="n">
        <x:f>H330+H335*'Assumptions'!$D$71</x:f>
        <x:v>0</x:v>
      </x:c>
      <x:c r="I337" s="49" t="n">
        <x:f>I330+I335*'Assumptions'!$D$71</x:f>
        <x:v>0</x:v>
      </x:c>
      <x:c r="J337" s="49" t="n">
        <x:f>J330+J335*'Assumptions'!$D$71</x:f>
        <x:v>79.65898200000001</x:v>
      </x:c>
      <x:c r="K337" s="1"/>
      <x:c r="L337" s="1"/>
      <x:c r="M337" s="1"/>
    </x:row>
    <x:row r="338" ht="22" customHeight="1">
      <x:c r="A338" s="1"/>
      <x:c r="B338" s="1"/>
      <x:c r="C338" s="1" t="str">
        <x:v>Cumulative ever-acquired households</x:v>
      </x:c>
      <x:c r="D338" s="11" t="n">
        <x:f>D331+D335</x:f>
        <x:v>0</x:v>
      </x:c>
      <x:c r="E338" s="11" t="n">
        <x:f>E331+E335</x:f>
        <x:v>0</x:v>
      </x:c>
      <x:c r="F338" s="11" t="n">
        <x:f>F331+F335</x:f>
        <x:v>0</x:v>
      </x:c>
      <x:c r="G338" s="11" t="n">
        <x:f>G331+G335</x:f>
        <x:v>0</x:v>
      </x:c>
      <x:c r="H338" s="11" t="n">
        <x:f>H331+H335</x:f>
        <x:v>0</x:v>
      </x:c>
      <x:c r="I338" s="11" t="n">
        <x:f>I331+I335</x:f>
        <x:v>0</x:v>
      </x:c>
      <x:c r="J338" s="11" t="n">
        <x:f>J331+J335</x:f>
        <x:v>159.31796400000002</x:v>
      </x:c>
      <x:c r="K338" s="1"/>
      <x:c r="L338" s="1"/>
      <x:c r="M338" s="1"/>
    </x:row>
    <x:row r="339" ht="22" customHeight="1">
      <x:c r="A339" s="1"/>
      <x:c r="B339" s="1"/>
      <x:c r="C339" s="1" t="str">
        <x:v>Ending payout-active providers</x:v>
      </x:c>
      <x:c r="D339" s="49" t="n">
        <x:f>MIN(D332,ROUNDUP(D336/'Assumptions'!$D$72,0))</x:f>
        <x:v>0</x:v>
      </x:c>
      <x:c r="E339" s="49" t="n">
        <x:f>MIN(E332,ROUNDUP(E336/'Assumptions'!$D$72,0))</x:f>
        <x:v>0</x:v>
      </x:c>
      <x:c r="F339" s="49" t="n">
        <x:f>MIN(F332,ROUNDUP(F336/'Assumptions'!$D$72,0))</x:f>
        <x:v>0</x:v>
      </x:c>
      <x:c r="G339" s="49" t="n">
        <x:f>MIN(G332,ROUNDUP(G336/'Assumptions'!$D$72,0))</x:f>
        <x:v>0</x:v>
      </x:c>
      <x:c r="H339" s="49" t="n">
        <x:f>MIN(H332,ROUNDUP(H336/'Assumptions'!$D$72,0))</x:f>
        <x:v>0</x:v>
      </x:c>
      <x:c r="I339" s="49" t="n">
        <x:f>MIN(I332,ROUNDUP(I336/'Assumptions'!$D$72,0))</x:f>
        <x:v>0</x:v>
      </x:c>
      <x:c r="J339" s="49" t="n">
        <x:f>MIN(J332,ROUNDUP(J336/'Assumptions'!$D$72,0))</x:f>
        <x:v>4</x:v>
      </x:c>
      <x:c r="K339" s="1"/>
      <x:c r="L339" s="1"/>
      <x:c r="M339" s="1"/>
    </x:row>
    <x:row r="340" ht="22" customHeight="1">
      <x:c r="A340" s="1"/>
      <x:c r="B340" s="1"/>
      <x:c r="C340" s="1" t="str">
        <x:v>Retained active providers</x:v>
      </x:c>
      <x:c r="D340" s="11" t="n">
        <x:f>0</x:f>
        <x:v>0</x:v>
      </x:c>
      <x:c r="E340" s="49" t="n">
        <x:f>D339*'Assumptions'!$D$73</x:f>
        <x:v>0</x:v>
      </x:c>
      <x:c r="F340" s="49" t="n">
        <x:f>E339*'Assumptions'!$D$73</x:f>
        <x:v>0</x:v>
      </x:c>
      <x:c r="G340" s="49" t="n">
        <x:f>F339*'Assumptions'!$D$73</x:f>
        <x:v>0</x:v>
      </x:c>
      <x:c r="H340" s="49" t="n">
        <x:f>G339*'Assumptions'!$D$73</x:f>
        <x:v>0</x:v>
      </x:c>
      <x:c r="I340" s="49" t="n">
        <x:f>H339*'Assumptions'!$D$73</x:f>
        <x:v>0</x:v>
      </x:c>
      <x:c r="J340" s="49" t="n">
        <x:f>I339*'Assumptions'!$D$73</x:f>
        <x:v>0</x:v>
      </x:c>
      <x:c r="K340" s="1"/>
      <x:c r="L340" s="1"/>
      <x:c r="M340" s="1"/>
    </x:row>
    <x:row r="341" ht="22" customHeight="1">
      <x:c r="A341" s="1"/>
      <x:c r="B341" s="1"/>
      <x:c r="C341" s="1" t="str">
        <x:v>New / replacement active providers</x:v>
      </x:c>
      <x:c r="D341" s="11" t="n">
        <x:f>MAX(0,D339-D340)</x:f>
        <x:v>0</x:v>
      </x:c>
      <x:c r="E341" s="11" t="n">
        <x:f>MAX(0,E339-E340)</x:f>
        <x:v>0</x:v>
      </x:c>
      <x:c r="F341" s="11" t="n">
        <x:f>MAX(0,F339-F340)</x:f>
        <x:v>0</x:v>
      </x:c>
      <x:c r="G341" s="11" t="n">
        <x:f>MAX(0,G339-G340)</x:f>
        <x:v>0</x:v>
      </x:c>
      <x:c r="H341" s="11" t="n">
        <x:f>MAX(0,H339-H340)</x:f>
        <x:v>0</x:v>
      </x:c>
      <x:c r="I341" s="11" t="n">
        <x:f>MAX(0,I339-I340)</x:f>
        <x:v>0</x:v>
      </x:c>
      <x:c r="J341" s="11" t="n">
        <x:f>MAX(0,J339-J340)</x:f>
        <x:v>4</x:v>
      </x:c>
      <x:c r="K341" s="1"/>
      <x:c r="L341" s="1"/>
      <x:c r="M341" s="1"/>
    </x:row>
    <x:row r="342" ht="22" customHeight="1">
      <x:c r="A342" s="1"/>
      <x:c r="B342" s="1"/>
      <x:c r="C342" s="1" t="str">
        <x:v>Average payout-active providers</x:v>
      </x:c>
      <x:c r="D342" s="49" t="n">
        <x:f>D340+D341*'Assumptions'!$D$71</x:f>
        <x:v>0</x:v>
      </x:c>
      <x:c r="E342" s="49" t="n">
        <x:f>E340+E341*'Assumptions'!$D$71</x:f>
        <x:v>0</x:v>
      </x:c>
      <x:c r="F342" s="49" t="n">
        <x:f>F340+F341*'Assumptions'!$D$71</x:f>
        <x:v>0</x:v>
      </x:c>
      <x:c r="G342" s="49" t="n">
        <x:f>G340+G341*'Assumptions'!$D$71</x:f>
        <x:v>0</x:v>
      </x:c>
      <x:c r="H342" s="49" t="n">
        <x:f>H340+H341*'Assumptions'!$D$71</x:f>
        <x:v>0</x:v>
      </x:c>
      <x:c r="I342" s="49" t="n">
        <x:f>I340+I341*'Assumptions'!$D$71</x:f>
        <x:v>0</x:v>
      </x:c>
      <x:c r="J342" s="49" t="n">
        <x:f>J340+J341*'Assumptions'!$D$71</x:f>
        <x:v>2</x:v>
      </x:c>
      <x:c r="K342" s="1"/>
      <x:c r="L342" s="1"/>
      <x:c r="M342" s="1"/>
    </x:row>
    <x:row r="343" ht="22" customHeight="1">
      <x:c r="A343" s="1"/>
      <x:c r="B343" s="1"/>
      <x:c r="C343" s="1" t="str">
        <x:v>Cash acquisition spend</x:v>
      </x:c>
      <x:c r="D343" s="50" t="n">
        <x:f>D335*'Town inputs'!$F$57*(1-'Town inputs'!$D$66)^0*IF('Assumptions'!$D$3="Downside",'Town inputs'!$D$79,IF('Assumptions'!$D$3="Upside",'Town inputs'!$D$80,1))*(1+('Town inputs'!$D$103/'Town inputs'!$D$104-1)*0/6)</x:f>
        <x:v>0</x:v>
      </x:c>
      <x:c r="E343" s="50" t="n">
        <x:f>E335*'Town inputs'!$F$57*(1-'Town inputs'!$D$66)^1*IF('Assumptions'!$D$3="Downside",'Town inputs'!$D$79,IF('Assumptions'!$D$3="Upside",'Town inputs'!$D$80,1))*(1+('Town inputs'!$D$103/'Town inputs'!$D$104-1)*1/6)</x:f>
        <x:v>0</x:v>
      </x:c>
      <x:c r="F343" s="50" t="n">
        <x:f>F335*'Town inputs'!$F$57*(1-'Town inputs'!$D$66)^2*IF('Assumptions'!$D$3="Downside",'Town inputs'!$D$79,IF('Assumptions'!$D$3="Upside",'Town inputs'!$D$80,1))*(1+('Town inputs'!$D$103/'Town inputs'!$D$104-1)*2/6)</x:f>
        <x:v>0</x:v>
      </x:c>
      <x:c r="G343" s="50" t="n">
        <x:f>G335*'Town inputs'!$F$57*(1-'Town inputs'!$D$66)^3*IF('Assumptions'!$D$3="Downside",'Town inputs'!$D$79,IF('Assumptions'!$D$3="Upside",'Town inputs'!$D$80,1))*(1+('Town inputs'!$D$103/'Town inputs'!$D$104-1)*3/6)</x:f>
        <x:v>0</x:v>
      </x:c>
      <x:c r="H343" s="50" t="n">
        <x:f>H335*'Town inputs'!$F$57*(1-'Town inputs'!$D$66)^4*IF('Assumptions'!$D$3="Downside",'Town inputs'!$D$79,IF('Assumptions'!$D$3="Upside",'Town inputs'!$D$80,1))*(1+('Town inputs'!$D$103/'Town inputs'!$D$104-1)*4/6)</x:f>
        <x:v>0</x:v>
      </x:c>
      <x:c r="I343" s="50" t="n">
        <x:f>I335*'Town inputs'!$F$57*(1-'Town inputs'!$D$66)^5*IF('Assumptions'!$D$3="Downside",'Town inputs'!$D$79,IF('Assumptions'!$D$3="Upside",'Town inputs'!$D$80,1))*(1+('Town inputs'!$D$103/'Town inputs'!$D$104-1)*5/6)</x:f>
        <x:v>0</x:v>
      </x:c>
      <x:c r="J343" s="50" t="n">
        <x:f>J335*'Town inputs'!$F$57*(1-'Town inputs'!$D$66)^6*IF('Assumptions'!$D$3="Downside",'Town inputs'!$D$79,IF('Assumptions'!$D$3="Upside",'Town inputs'!$D$80,1))*(1+('Town inputs'!$D$103/'Town inputs'!$D$104-1)*6/6)</x:f>
        <x:v>8256.163552527783</x:v>
      </x:c>
      <x:c r="K343" s="1"/>
      <x:c r="L343" s="1"/>
      <x:c r="M343" s="1"/>
    </x:row>
    <x:row r="344" ht="22" customHeight="1">
      <x:c r="A344" s="1"/>
      <x:c r="B344" s="1"/>
      <x:c r="C344" s="1" t="str">
        <x:v>Launch spend</x:v>
      </x:c>
      <x:c r="D344" s="50" t="n">
        <x:f>IF(D327=1,'Town inputs'!$G$57*(1+'Town inputs'!$D$67)^0,0)</x:f>
        <x:v>0</x:v>
      </x:c>
      <x:c r="E344" s="50" t="n">
        <x:f>IF(E327=1,'Town inputs'!$G$57*(1+'Town inputs'!$D$67)^1,0)</x:f>
        <x:v>0</x:v>
      </x:c>
      <x:c r="F344" s="50" t="n">
        <x:f>IF(F327=1,'Town inputs'!$G$57*(1+'Town inputs'!$D$67)^2,0)</x:f>
        <x:v>0</x:v>
      </x:c>
      <x:c r="G344" s="50" t="n">
        <x:f>IF(G327=1,'Town inputs'!$G$57*(1+'Town inputs'!$D$67)^3,0)</x:f>
        <x:v>0</x:v>
      </x:c>
      <x:c r="H344" s="50" t="n">
        <x:f>IF(H327=1,'Town inputs'!$G$57*(1+'Town inputs'!$D$67)^4,0)</x:f>
        <x:v>0</x:v>
      </x:c>
      <x:c r="I344" s="50" t="n">
        <x:f>IF(I327=1,'Town inputs'!$G$57*(1+'Town inputs'!$D$67)^5,0)</x:f>
        <x:v>0</x:v>
      </x:c>
      <x:c r="J344" s="50" t="n">
        <x:f>IF(J327=1,'Town inputs'!$G$57*(1+'Town inputs'!$D$67)^6,0)</x:f>
        <x:v>23881.045930580003</x:v>
      </x:c>
      <x:c r="K344" s="1"/>
      <x:c r="L344" s="1"/>
      <x:c r="M344" s="1"/>
    </x:row>
    <x:row r="345" ht="22" customHeight="1">
      <x:c r="A345" s="1"/>
      <x:c r="B345" s="1"/>
      <x:c r="C345" s="1" t="str">
        <x:v>Annual local coverage</x:v>
      </x:c>
      <x:c r="D345" s="50" t="n">
        <x:f>IF(D327&gt;0,'Town inputs'!$H$57*(1+'Town inputs'!$D$67)^0*IF(D327=1,'Assumptions'!$D$71,1),0)</x:f>
        <x:v>0</x:v>
      </x:c>
      <x:c r="E345" s="50" t="n">
        <x:f>IF(E327&gt;0,'Town inputs'!$H$57*(1+'Town inputs'!$D$67)^1*IF(E327=1,'Assumptions'!$D$71,1),0)</x:f>
        <x:v>0</x:v>
      </x:c>
      <x:c r="F345" s="50" t="n">
        <x:f>IF(F327&gt;0,'Town inputs'!$H$57*(1+'Town inputs'!$D$67)^2*IF(F327=1,'Assumptions'!$D$71,1),0)</x:f>
        <x:v>0</x:v>
      </x:c>
      <x:c r="G345" s="50" t="n">
        <x:f>IF(G327&gt;0,'Town inputs'!$H$57*(1+'Town inputs'!$D$67)^3*IF(G327=1,'Assumptions'!$D$71,1),0)</x:f>
        <x:v>0</x:v>
      </x:c>
      <x:c r="H345" s="50" t="n">
        <x:f>IF(H327&gt;0,'Town inputs'!$H$57*(1+'Town inputs'!$D$67)^4*IF(H327=1,'Assumptions'!$D$71,1),0)</x:f>
        <x:v>0</x:v>
      </x:c>
      <x:c r="I345" s="50" t="n">
        <x:f>IF(I327&gt;0,'Town inputs'!$H$57*(1+'Town inputs'!$D$67)^5*IF(I327=1,'Assumptions'!$D$71,1),0)</x:f>
        <x:v>0</x:v>
      </x:c>
      <x:c r="J345" s="50" t="n">
        <x:f>IF(J327&gt;0,'Town inputs'!$H$57*(1+'Town inputs'!$D$67)^6*IF(J327=1,'Assumptions'!$D$71,1),0)</x:f>
        <x:v>3582.1568895870005</x:v>
      </x:c>
      <x:c r="K345" s="1"/>
      <x:c r="L345" s="1"/>
      <x:c r="M345" s="1"/>
    </x:row>
    <x:row r="346" ht="22" customHeight="1">
      <x:c r="A346" s="1"/>
      <x:c r="B346" s="1"/>
      <x:c r="C346" s="1"/>
      <x:c r="D346" s="6"/>
      <x:c r="E346" s="6"/>
      <x:c r="F346" s="6"/>
      <x:c r="G346" s="6"/>
      <x:c r="H346" s="6"/>
      <x:c r="I346" s="6"/>
      <x:c r="J346" s="6"/>
      <x:c r="K346" s="1"/>
      <x:c r="L346" s="1"/>
      <x:c r="M346" s="1"/>
    </x:row>
    <x:row r="347" ht="22" customHeight="1">
      <x:c r="A347" s="1"/>
      <x:c r="B347" s="1"/>
      <x:c r="C347" s="1"/>
      <x:c r="D347" s="6"/>
      <x:c r="E347" s="6"/>
      <x:c r="F347" s="6"/>
      <x:c r="G347" s="6"/>
      <x:c r="H347" s="6"/>
      <x:c r="I347" s="6"/>
      <x:c r="J347" s="6"/>
      <x:c r="K347" s="1"/>
      <x:c r="L347" s="1"/>
      <x:c r="M347" s="1"/>
    </x:row>
    <x:row r="348" ht="22" customHeight="1">
      <x:c r="A348" s="1"/>
      <x:c r="B348" s="1"/>
      <x:c r="C348" s="5" t="str">
        <x:v>Rumson | Monmouth County</x:v>
      </x:c>
      <x:c r="D348" s="26"/>
      <x:c r="E348" s="26"/>
      <x:c r="F348" s="26"/>
      <x:c r="G348" s="26"/>
      <x:c r="H348" s="26"/>
      <x:c r="I348" s="26"/>
      <x:c r="J348" s="26"/>
      <x:c r="K348" s="1"/>
      <x:c r="L348" s="1"/>
      <x:c r="M348" s="1"/>
    </x:row>
    <x:row r="349" ht="22" customHeight="1">
      <x:c r="A349" s="1"/>
      <x:c r="B349" s="1"/>
      <x:c r="C349" s="1" t="str">
        <x:v>Years since launch</x:v>
      </x:c>
      <x:c r="D349" s="49" t="n">
        <x:f>MAX(0,2027-'Town inputs'!$D$39+1)</x:f>
        <x:v>0</x:v>
      </x:c>
      <x:c r="E349" s="49" t="n">
        <x:f>MAX(0,2028-'Town inputs'!$D$39+1)</x:f>
        <x:v>0</x:v>
      </x:c>
      <x:c r="F349" s="49" t="n">
        <x:f>MAX(0,2029-'Town inputs'!$D$39+1)</x:f>
        <x:v>0</x:v>
      </x:c>
      <x:c r="G349" s="49" t="n">
        <x:f>MAX(0,2030-'Town inputs'!$D$39+1)</x:f>
        <x:v>0</x:v>
      </x:c>
      <x:c r="H349" s="49" t="n">
        <x:f>MAX(0,2031-'Town inputs'!$D$39+1)</x:f>
        <x:v>0</x:v>
      </x:c>
      <x:c r="I349" s="49" t="n">
        <x:f>MAX(0,2032-'Town inputs'!$D$39+1)</x:f>
        <x:v>0</x:v>
      </x:c>
      <x:c r="J349" s="49" t="n">
        <x:f>MAX(0,2033-'Town inputs'!$D$39+1)</x:f>
        <x:v>1</x:v>
      </x:c>
      <x:c r="K349" s="1"/>
      <x:c r="L349" s="1"/>
      <x:c r="M349" s="1"/>
    </x:row>
    <x:row r="350" ht="22" customHeight="1">
      <x:c r="A350" s="1"/>
      <x:c r="B350" s="1"/>
      <x:c r="C350" s="1" t="str">
        <x:v>Assumed outsourcing pool</x:v>
      </x:c>
      <x:c r="D350" s="49" t="n">
        <x:f>IF(D349&gt;0,'Town inputs'!$D$20*'Town inputs'!$E$20*'Town inputs'!$E$39*MIN(1,'Town inputs'!$F$39*IF('Assumptions'!$D$3="Downside",'Town inputs'!$D$73,IF('Assumptions'!$D$3="Upside",'Town inputs'!$D$74,1))),0)</x:f>
        <x:v>0</x:v>
      </x:c>
      <x:c r="E350" s="49" t="n">
        <x:f>IF(E349&gt;0,'Town inputs'!$D$20*'Town inputs'!$E$20*'Town inputs'!$E$39*MIN(1,'Town inputs'!$F$39*IF('Assumptions'!$D$3="Downside",'Town inputs'!$D$73,IF('Assumptions'!$D$3="Upside",'Town inputs'!$D$74,1))),0)</x:f>
        <x:v>0</x:v>
      </x:c>
      <x:c r="F350" s="49" t="n">
        <x:f>IF(F349&gt;0,'Town inputs'!$D$20*'Town inputs'!$E$20*'Town inputs'!$E$39*MIN(1,'Town inputs'!$F$39*IF('Assumptions'!$D$3="Downside",'Town inputs'!$D$73,IF('Assumptions'!$D$3="Upside",'Town inputs'!$D$74,1))),0)</x:f>
        <x:v>0</x:v>
      </x:c>
      <x:c r="G350" s="49" t="n">
        <x:f>IF(G349&gt;0,'Town inputs'!$D$20*'Town inputs'!$E$20*'Town inputs'!$E$39*MIN(1,'Town inputs'!$F$39*IF('Assumptions'!$D$3="Downside",'Town inputs'!$D$73,IF('Assumptions'!$D$3="Upside",'Town inputs'!$D$74,1))),0)</x:f>
        <x:v>0</x:v>
      </x:c>
      <x:c r="H350" s="49" t="n">
        <x:f>IF(H349&gt;0,'Town inputs'!$D$20*'Town inputs'!$E$20*'Town inputs'!$E$39*MIN(1,'Town inputs'!$F$39*IF('Assumptions'!$D$3="Downside",'Town inputs'!$D$73,IF('Assumptions'!$D$3="Upside",'Town inputs'!$D$74,1))),0)</x:f>
        <x:v>0</x:v>
      </x:c>
      <x:c r="I350" s="49" t="n">
        <x:f>IF(I349&gt;0,'Town inputs'!$D$20*'Town inputs'!$E$20*'Town inputs'!$E$39*MIN(1,'Town inputs'!$F$39*IF('Assumptions'!$D$3="Downside",'Town inputs'!$D$73,IF('Assumptions'!$D$3="Upside",'Town inputs'!$D$74,1))),0)</x:f>
        <x:v>0</x:v>
      </x:c>
      <x:c r="J350" s="49" t="n">
        <x:f>IF(J349&gt;0,'Town inputs'!$D$20*'Town inputs'!$E$20*'Town inputs'!$E$39*MIN(1,'Town inputs'!$F$39*IF('Assumptions'!$D$3="Downside",'Town inputs'!$D$73,IF('Assumptions'!$D$3="Upside",'Town inputs'!$D$74,1))),0)</x:f>
        <x:v>1258.0308975</x:v>
      </x:c>
      <x:c r="K350" s="1"/>
      <x:c r="L350" s="1"/>
      <x:c r="M350" s="1"/>
    </x:row>
    <x:row r="351" ht="22" customHeight="1">
      <x:c r="A351" s="1"/>
      <x:c r="B351" s="1"/>
      <x:c r="C351" s="1" t="str">
        <x:v>Opening active households</x:v>
      </x:c>
      <x:c r="D351" s="11" t="n">
        <x:f>0</x:f>
        <x:v>0</x:v>
      </x:c>
      <x:c r="E351" s="11" t="n">
        <x:f>D358</x:f>
        <x:v>0</x:v>
      </x:c>
      <x:c r="F351" s="11" t="n">
        <x:f>E358</x:f>
        <x:v>0</x:v>
      </x:c>
      <x:c r="G351" s="11" t="n">
        <x:f>F358</x:f>
        <x:v>0</x:v>
      </x:c>
      <x:c r="H351" s="11" t="n">
        <x:f>G358</x:f>
        <x:v>0</x:v>
      </x:c>
      <x:c r="I351" s="11" t="n">
        <x:f>H358</x:f>
        <x:v>0</x:v>
      </x:c>
      <x:c r="J351" s="11" t="n">
        <x:f>I358</x:f>
        <x:v>0</x:v>
      </x:c>
      <x:c r="K351" s="1"/>
      <x:c r="L351" s="1"/>
      <x:c r="M351" s="1"/>
    </x:row>
    <x:row r="352" ht="22" customHeight="1">
      <x:c r="A352" s="1"/>
      <x:c r="B352" s="1"/>
      <x:c r="C352" s="1" t="str">
        <x:v>Retained households</x:v>
      </x:c>
      <x:c r="D352" s="49" t="n">
        <x:f>D351*'Assumptions'!D12</x:f>
        <x:v>0</x:v>
      </x:c>
      <x:c r="E352" s="49" t="n">
        <x:f>E351*'Assumptions'!E12</x:f>
        <x:v>0</x:v>
      </x:c>
      <x:c r="F352" s="49" t="n">
        <x:f>F351*'Assumptions'!F12</x:f>
        <x:v>0</x:v>
      </x:c>
      <x:c r="G352" s="49" t="n">
        <x:f>G351*'Assumptions'!G12</x:f>
        <x:v>0</x:v>
      </x:c>
      <x:c r="H352" s="49" t="n">
        <x:f>H351*'Assumptions'!H12</x:f>
        <x:v>0</x:v>
      </x:c>
      <x:c r="I352" s="49" t="n">
        <x:f>I351*'Assumptions'!I12</x:f>
        <x:v>0</x:v>
      </x:c>
      <x:c r="J352" s="49" t="n">
        <x:f>J351*'Assumptions'!J12</x:f>
        <x:v>0</x:v>
      </x:c>
      <x:c r="K352" s="1"/>
      <x:c r="L352" s="1"/>
      <x:c r="M352" s="1"/>
    </x:row>
    <x:row r="353" ht="22" customHeight="1">
      <x:c r="A353" s="1"/>
      <x:c r="B353" s="1"/>
      <x:c r="C353" s="1" t="str">
        <x:v>Previously acquired households</x:v>
      </x:c>
      <x:c r="D353" s="11" t="n">
        <x:f>0</x:f>
        <x:v>0</x:v>
      </x:c>
      <x:c r="E353" s="11" t="n">
        <x:f>D360</x:f>
        <x:v>0</x:v>
      </x:c>
      <x:c r="F353" s="11" t="n">
        <x:f>E360</x:f>
        <x:v>0</x:v>
      </x:c>
      <x:c r="G353" s="11" t="n">
        <x:f>F360</x:f>
        <x:v>0</x:v>
      </x:c>
      <x:c r="H353" s="11" t="n">
        <x:f>G360</x:f>
        <x:v>0</x:v>
      </x:c>
      <x:c r="I353" s="11" t="n">
        <x:f>H360</x:f>
        <x:v>0</x:v>
      </x:c>
      <x:c r="J353" s="11" t="n">
        <x:f>I360</x:f>
        <x:v>0</x:v>
      </x:c>
      <x:c r="K353" s="1"/>
      <x:c r="L353" s="1"/>
      <x:c r="M353" s="1"/>
    </x:row>
    <x:row r="354" ht="22" customHeight="1">
      <x:c r="A354" s="1"/>
      <x:c r="B354" s="1"/>
      <x:c r="C354" s="1" t="str">
        <x:v>Qualified provider capacity plan</x:v>
      </x:c>
      <x:c r="D354" s="49" t="n">
        <x:f>IF(D349=0,0,MIN(ROUNDUP('Town inputs'!$E$58*IF('Assumptions'!$D$3="Downside",'Town inputs'!$D$77,IF('Assumptions'!$D$3="Upside",'Town inputs'!$D$78,1)),0),ROUNDUP(('Town inputs'!$J$39+(D349-1)*'Town inputs'!$D$58)*IF('Assumptions'!$D$3="Downside",'Town inputs'!$D$77,IF('Assumptions'!$D$3="Upside",'Town inputs'!$D$78,1)),0)))</x:f>
        <x:v>0</x:v>
      </x:c>
      <x:c r="E354" s="49" t="n">
        <x:f>IF(E349=0,0,MIN(ROUNDUP('Town inputs'!$E$58*IF('Assumptions'!$D$3="Downside",'Town inputs'!$D$77,IF('Assumptions'!$D$3="Upside",'Town inputs'!$D$78,1)),0),ROUNDUP(('Town inputs'!$J$39+(E349-1)*'Town inputs'!$D$58)*IF('Assumptions'!$D$3="Downside",'Town inputs'!$D$77,IF('Assumptions'!$D$3="Upside",'Town inputs'!$D$78,1)),0)))</x:f>
        <x:v>0</x:v>
      </x:c>
      <x:c r="F354" s="49" t="n">
        <x:f>IF(F349=0,0,MIN(ROUNDUP('Town inputs'!$E$58*IF('Assumptions'!$D$3="Downside",'Town inputs'!$D$77,IF('Assumptions'!$D$3="Upside",'Town inputs'!$D$78,1)),0),ROUNDUP(('Town inputs'!$J$39+(F349-1)*'Town inputs'!$D$58)*IF('Assumptions'!$D$3="Downside",'Town inputs'!$D$77,IF('Assumptions'!$D$3="Upside",'Town inputs'!$D$78,1)),0)))</x:f>
        <x:v>0</x:v>
      </x:c>
      <x:c r="G354" s="49" t="n">
        <x:f>IF(G349=0,0,MIN(ROUNDUP('Town inputs'!$E$58*IF('Assumptions'!$D$3="Downside",'Town inputs'!$D$77,IF('Assumptions'!$D$3="Upside",'Town inputs'!$D$78,1)),0),ROUNDUP(('Town inputs'!$J$39+(G349-1)*'Town inputs'!$D$58)*IF('Assumptions'!$D$3="Downside",'Town inputs'!$D$77,IF('Assumptions'!$D$3="Upside",'Town inputs'!$D$78,1)),0)))</x:f>
        <x:v>0</x:v>
      </x:c>
      <x:c r="H354" s="49" t="n">
        <x:f>IF(H349=0,0,MIN(ROUNDUP('Town inputs'!$E$58*IF('Assumptions'!$D$3="Downside",'Town inputs'!$D$77,IF('Assumptions'!$D$3="Upside",'Town inputs'!$D$78,1)),0),ROUNDUP(('Town inputs'!$J$39+(H349-1)*'Town inputs'!$D$58)*IF('Assumptions'!$D$3="Downside",'Town inputs'!$D$77,IF('Assumptions'!$D$3="Upside",'Town inputs'!$D$78,1)),0)))</x:f>
        <x:v>0</x:v>
      </x:c>
      <x:c r="I354" s="49" t="n">
        <x:f>IF(I349=0,0,MIN(ROUNDUP('Town inputs'!$E$58*IF('Assumptions'!$D$3="Downside",'Town inputs'!$D$77,IF('Assumptions'!$D$3="Upside",'Town inputs'!$D$78,1)),0),ROUNDUP(('Town inputs'!$J$39+(I349-1)*'Town inputs'!$D$58)*IF('Assumptions'!$D$3="Downside",'Town inputs'!$D$77,IF('Assumptions'!$D$3="Upside",'Town inputs'!$D$78,1)),0)))</x:f>
        <x:v>0</x:v>
      </x:c>
      <x:c r="J354" s="49" t="n">
        <x:f>IF(J349=0,0,MIN(ROUNDUP('Town inputs'!$E$58*IF('Assumptions'!$D$3="Downside",'Town inputs'!$D$77,IF('Assumptions'!$D$3="Upside",'Town inputs'!$D$78,1)),0),ROUNDUP(('Town inputs'!$J$39+(J349-1)*'Town inputs'!$D$58)*IF('Assumptions'!$D$3="Downside",'Town inputs'!$D$77,IF('Assumptions'!$D$3="Upside",'Town inputs'!$D$78,1)),0)))</x:f>
        <x:v>3</x:v>
      </x:c>
      <x:c r="K354" s="1"/>
      <x:c r="L354" s="1"/>
      <x:c r="M354" s="1"/>
    </x:row>
    <x:row r="355" ht="22" customHeight="1">
      <x:c r="A355" s="1"/>
      <x:c r="B355" s="1"/>
      <x:c r="C355" s="1" t="str">
        <x:v>Household capacity</x:v>
      </x:c>
      <x:c r="D355" s="49" t="n">
        <x:f>D354*'Assumptions'!$D$72</x:f>
        <x:v>0</x:v>
      </x:c>
      <x:c r="E355" s="49" t="n">
        <x:f>E354*'Assumptions'!$D$72</x:f>
        <x:v>0</x:v>
      </x:c>
      <x:c r="F355" s="49" t="n">
        <x:f>F354*'Assumptions'!$D$72</x:f>
        <x:v>0</x:v>
      </x:c>
      <x:c r="G355" s="49" t="n">
        <x:f>G354*'Assumptions'!$D$72</x:f>
        <x:v>0</x:v>
      </x:c>
      <x:c r="H355" s="49" t="n">
        <x:f>H354*'Assumptions'!$D$72</x:f>
        <x:v>0</x:v>
      </x:c>
      <x:c r="I355" s="49" t="n">
        <x:f>I354*'Assumptions'!$D$72</x:f>
        <x:v>0</x:v>
      </x:c>
      <x:c r="J355" s="49" t="n">
        <x:f>J354*'Assumptions'!$D$72</x:f>
        <x:v>120</x:v>
      </x:c>
      <x:c r="K355" s="1"/>
      <x:c r="L355" s="1"/>
      <x:c r="M355" s="1"/>
    </x:row>
    <x:row r="356" ht="22" customHeight="1">
      <x:c r="A356" s="1"/>
      <x:c r="B356" s="1"/>
      <x:c r="C356" s="1" t="str">
        <x:v>Unconstrained new demand</x:v>
      </x:c>
      <x:c r="D356" s="49" t="n">
        <x:f>MAX(0,D350-D353)*MIN(1,MIN('Town inputs'!$D$65,'Town inputs'!$D$63+MAX(0,D349-1)*'Town inputs'!$D$64)*IF('Assumptions'!$D$3="Downside",'Town inputs'!$D$75,IF('Assumptions'!$D$3="Upside",'Town inputs'!$D$76,1)))</x:f>
        <x:v>0</x:v>
      </x:c>
      <x:c r="E356" s="49" t="n">
        <x:f>MAX(0,E350-E353)*MIN(1,MIN('Town inputs'!$D$65,'Town inputs'!$D$63+MAX(0,E349-1)*'Town inputs'!$D$64)*IF('Assumptions'!$D$3="Downside",'Town inputs'!$D$75,IF('Assumptions'!$D$3="Upside",'Town inputs'!$D$76,1)))</x:f>
        <x:v>0</x:v>
      </x:c>
      <x:c r="F356" s="49" t="n">
        <x:f>MAX(0,F350-F353)*MIN(1,MIN('Town inputs'!$D$65,'Town inputs'!$D$63+MAX(0,F349-1)*'Town inputs'!$D$64)*IF('Assumptions'!$D$3="Downside",'Town inputs'!$D$75,IF('Assumptions'!$D$3="Upside",'Town inputs'!$D$76,1)))</x:f>
        <x:v>0</x:v>
      </x:c>
      <x:c r="G356" s="49" t="n">
        <x:f>MAX(0,G350-G353)*MIN(1,MIN('Town inputs'!$D$65,'Town inputs'!$D$63+MAX(0,G349-1)*'Town inputs'!$D$64)*IF('Assumptions'!$D$3="Downside",'Town inputs'!$D$75,IF('Assumptions'!$D$3="Upside",'Town inputs'!$D$76,1)))</x:f>
        <x:v>0</x:v>
      </x:c>
      <x:c r="H356" s="49" t="n">
        <x:f>MAX(0,H350-H353)*MIN(1,MIN('Town inputs'!$D$65,'Town inputs'!$D$63+MAX(0,H349-1)*'Town inputs'!$D$64)*IF('Assumptions'!$D$3="Downside",'Town inputs'!$D$75,IF('Assumptions'!$D$3="Upside",'Town inputs'!$D$76,1)))</x:f>
        <x:v>0</x:v>
      </x:c>
      <x:c r="I356" s="49" t="n">
        <x:f>MAX(0,I350-I353)*MIN(1,MIN('Town inputs'!$D$65,'Town inputs'!$D$63+MAX(0,I349-1)*'Town inputs'!$D$64)*IF('Assumptions'!$D$3="Downside",'Town inputs'!$D$75,IF('Assumptions'!$D$3="Upside",'Town inputs'!$D$76,1)))</x:f>
        <x:v>0</x:v>
      </x:c>
      <x:c r="J356" s="49" t="n">
        <x:f>MAX(0,J350-J353)*MIN(1,MIN('Town inputs'!$D$65,'Town inputs'!$D$63+MAX(0,J349-1)*'Town inputs'!$D$64)*IF('Assumptions'!$D$3="Downside",'Town inputs'!$D$75,IF('Assumptions'!$D$3="Upside",'Town inputs'!$D$76,1)))</x:f>
        <x:v>100.64247180000001</x:v>
      </x:c>
      <x:c r="K356" s="1"/>
      <x:c r="L356" s="1"/>
      <x:c r="M356" s="1"/>
    </x:row>
    <x:row r="357" ht="22" customHeight="1">
      <x:c r="A357" s="1"/>
      <x:c r="B357" s="1"/>
      <x:c r="C357" s="1" t="str">
        <x:v>New first-time households</x:v>
      </x:c>
      <x:c r="D357" s="11" t="n">
        <x:f>MIN(D356,MAX(0,D355-D352))</x:f>
        <x:v>0</x:v>
      </x:c>
      <x:c r="E357" s="11" t="n">
        <x:f>MIN(E356,MAX(0,E355-E352))</x:f>
        <x:v>0</x:v>
      </x:c>
      <x:c r="F357" s="11" t="n">
        <x:f>MIN(F356,MAX(0,F355-F352))</x:f>
        <x:v>0</x:v>
      </x:c>
      <x:c r="G357" s="11" t="n">
        <x:f>MIN(G356,MAX(0,G355-G352))</x:f>
        <x:v>0</x:v>
      </x:c>
      <x:c r="H357" s="11" t="n">
        <x:f>MIN(H356,MAX(0,H355-H352))</x:f>
        <x:v>0</x:v>
      </x:c>
      <x:c r="I357" s="11" t="n">
        <x:f>MIN(I356,MAX(0,I355-I352))</x:f>
        <x:v>0</x:v>
      </x:c>
      <x:c r="J357" s="11" t="n">
        <x:f>MIN(J356,MAX(0,J355-J352))</x:f>
        <x:v>100.64247180000001</x:v>
      </x:c>
      <x:c r="K357" s="1"/>
      <x:c r="L357" s="1"/>
      <x:c r="M357" s="1"/>
    </x:row>
    <x:row r="358" ht="22" customHeight="1">
      <x:c r="A358" s="1"/>
      <x:c r="B358" s="1"/>
      <x:c r="C358" s="1" t="str">
        <x:v>Ending active households</x:v>
      </x:c>
      <x:c r="D358" s="11" t="n">
        <x:f>D352+D357</x:f>
        <x:v>0</x:v>
      </x:c>
      <x:c r="E358" s="11" t="n">
        <x:f>E352+E357</x:f>
        <x:v>0</x:v>
      </x:c>
      <x:c r="F358" s="11" t="n">
        <x:f>F352+F357</x:f>
        <x:v>0</x:v>
      </x:c>
      <x:c r="G358" s="11" t="n">
        <x:f>G352+G357</x:f>
        <x:v>0</x:v>
      </x:c>
      <x:c r="H358" s="11" t="n">
        <x:f>H352+H357</x:f>
        <x:v>0</x:v>
      </x:c>
      <x:c r="I358" s="11" t="n">
        <x:f>I352+I357</x:f>
        <x:v>0</x:v>
      </x:c>
      <x:c r="J358" s="11" t="n">
        <x:f>J352+J357</x:f>
        <x:v>100.64247180000001</x:v>
      </x:c>
      <x:c r="K358" s="1"/>
      <x:c r="L358" s="1"/>
      <x:c r="M358" s="1"/>
    </x:row>
    <x:row r="359" ht="22" customHeight="1">
      <x:c r="A359" s="1"/>
      <x:c r="B359" s="1"/>
      <x:c r="C359" s="1" t="str">
        <x:v>Full-season equivalent households</x:v>
      </x:c>
      <x:c r="D359" s="49" t="n">
        <x:f>D352+D357*'Assumptions'!$D$71</x:f>
        <x:v>0</x:v>
      </x:c>
      <x:c r="E359" s="49" t="n">
        <x:f>E352+E357*'Assumptions'!$D$71</x:f>
        <x:v>0</x:v>
      </x:c>
      <x:c r="F359" s="49" t="n">
        <x:f>F352+F357*'Assumptions'!$D$71</x:f>
        <x:v>0</x:v>
      </x:c>
      <x:c r="G359" s="49" t="n">
        <x:f>G352+G357*'Assumptions'!$D$71</x:f>
        <x:v>0</x:v>
      </x:c>
      <x:c r="H359" s="49" t="n">
        <x:f>H352+H357*'Assumptions'!$D$71</x:f>
        <x:v>0</x:v>
      </x:c>
      <x:c r="I359" s="49" t="n">
        <x:f>I352+I357*'Assumptions'!$D$71</x:f>
        <x:v>0</x:v>
      </x:c>
      <x:c r="J359" s="49" t="n">
        <x:f>J352+J357*'Assumptions'!$D$71</x:f>
        <x:v>50.321235900000005</x:v>
      </x:c>
      <x:c r="K359" s="1"/>
      <x:c r="L359" s="1"/>
      <x:c r="M359" s="1"/>
    </x:row>
    <x:row r="360" ht="22" customHeight="1">
      <x:c r="A360" s="1"/>
      <x:c r="B360" s="1"/>
      <x:c r="C360" s="1" t="str">
        <x:v>Cumulative ever-acquired households</x:v>
      </x:c>
      <x:c r="D360" s="11" t="n">
        <x:f>D353+D357</x:f>
        <x:v>0</x:v>
      </x:c>
      <x:c r="E360" s="11" t="n">
        <x:f>E353+E357</x:f>
        <x:v>0</x:v>
      </x:c>
      <x:c r="F360" s="11" t="n">
        <x:f>F353+F357</x:f>
        <x:v>0</x:v>
      </x:c>
      <x:c r="G360" s="11" t="n">
        <x:f>G353+G357</x:f>
        <x:v>0</x:v>
      </x:c>
      <x:c r="H360" s="11" t="n">
        <x:f>H353+H357</x:f>
        <x:v>0</x:v>
      </x:c>
      <x:c r="I360" s="11" t="n">
        <x:f>I353+I357</x:f>
        <x:v>0</x:v>
      </x:c>
      <x:c r="J360" s="11" t="n">
        <x:f>J353+J357</x:f>
        <x:v>100.64247180000001</x:v>
      </x:c>
      <x:c r="K360" s="1"/>
      <x:c r="L360" s="1"/>
      <x:c r="M360" s="1"/>
    </x:row>
    <x:row r="361" ht="22" customHeight="1">
      <x:c r="A361" s="1"/>
      <x:c r="B361" s="1"/>
      <x:c r="C361" s="1" t="str">
        <x:v>Ending payout-active providers</x:v>
      </x:c>
      <x:c r="D361" s="49" t="n">
        <x:f>MIN(D354,ROUNDUP(D358/'Assumptions'!$D$72,0))</x:f>
        <x:v>0</x:v>
      </x:c>
      <x:c r="E361" s="49" t="n">
        <x:f>MIN(E354,ROUNDUP(E358/'Assumptions'!$D$72,0))</x:f>
        <x:v>0</x:v>
      </x:c>
      <x:c r="F361" s="49" t="n">
        <x:f>MIN(F354,ROUNDUP(F358/'Assumptions'!$D$72,0))</x:f>
        <x:v>0</x:v>
      </x:c>
      <x:c r="G361" s="49" t="n">
        <x:f>MIN(G354,ROUNDUP(G358/'Assumptions'!$D$72,0))</x:f>
        <x:v>0</x:v>
      </x:c>
      <x:c r="H361" s="49" t="n">
        <x:f>MIN(H354,ROUNDUP(H358/'Assumptions'!$D$72,0))</x:f>
        <x:v>0</x:v>
      </x:c>
      <x:c r="I361" s="49" t="n">
        <x:f>MIN(I354,ROUNDUP(I358/'Assumptions'!$D$72,0))</x:f>
        <x:v>0</x:v>
      </x:c>
      <x:c r="J361" s="49" t="n">
        <x:f>MIN(J354,ROUNDUP(J358/'Assumptions'!$D$72,0))</x:f>
        <x:v>3</x:v>
      </x:c>
      <x:c r="K361" s="1"/>
      <x:c r="L361" s="1"/>
      <x:c r="M361" s="1"/>
    </x:row>
    <x:row r="362" ht="22" customHeight="1">
      <x:c r="A362" s="1"/>
      <x:c r="B362" s="1"/>
      <x:c r="C362" s="1" t="str">
        <x:v>Retained active providers</x:v>
      </x:c>
      <x:c r="D362" s="11" t="n">
        <x:f>0</x:f>
        <x:v>0</x:v>
      </x:c>
      <x:c r="E362" s="49" t="n">
        <x:f>D361*'Assumptions'!$D$73</x:f>
        <x:v>0</x:v>
      </x:c>
      <x:c r="F362" s="49" t="n">
        <x:f>E361*'Assumptions'!$D$73</x:f>
        <x:v>0</x:v>
      </x:c>
      <x:c r="G362" s="49" t="n">
        <x:f>F361*'Assumptions'!$D$73</x:f>
        <x:v>0</x:v>
      </x:c>
      <x:c r="H362" s="49" t="n">
        <x:f>G361*'Assumptions'!$D$73</x:f>
        <x:v>0</x:v>
      </x:c>
      <x:c r="I362" s="49" t="n">
        <x:f>H361*'Assumptions'!$D$73</x:f>
        <x:v>0</x:v>
      </x:c>
      <x:c r="J362" s="49" t="n">
        <x:f>I361*'Assumptions'!$D$73</x:f>
        <x:v>0</x:v>
      </x:c>
      <x:c r="K362" s="1"/>
      <x:c r="L362" s="1"/>
      <x:c r="M362" s="1"/>
    </x:row>
    <x:row r="363" ht="22" customHeight="1">
      <x:c r="A363" s="1"/>
      <x:c r="B363" s="1"/>
      <x:c r="C363" s="1" t="str">
        <x:v>New / replacement active providers</x:v>
      </x:c>
      <x:c r="D363" s="11" t="n">
        <x:f>MAX(0,D361-D362)</x:f>
        <x:v>0</x:v>
      </x:c>
      <x:c r="E363" s="11" t="n">
        <x:f>MAX(0,E361-E362)</x:f>
        <x:v>0</x:v>
      </x:c>
      <x:c r="F363" s="11" t="n">
        <x:f>MAX(0,F361-F362)</x:f>
        <x:v>0</x:v>
      </x:c>
      <x:c r="G363" s="11" t="n">
        <x:f>MAX(0,G361-G362)</x:f>
        <x:v>0</x:v>
      </x:c>
      <x:c r="H363" s="11" t="n">
        <x:f>MAX(0,H361-H362)</x:f>
        <x:v>0</x:v>
      </x:c>
      <x:c r="I363" s="11" t="n">
        <x:f>MAX(0,I361-I362)</x:f>
        <x:v>0</x:v>
      </x:c>
      <x:c r="J363" s="11" t="n">
        <x:f>MAX(0,J361-J362)</x:f>
        <x:v>3</x:v>
      </x:c>
      <x:c r="K363" s="1"/>
      <x:c r="L363" s="1"/>
      <x:c r="M363" s="1"/>
    </x:row>
    <x:row r="364" ht="22" customHeight="1">
      <x:c r="A364" s="1"/>
      <x:c r="B364" s="1"/>
      <x:c r="C364" s="1" t="str">
        <x:v>Average payout-active providers</x:v>
      </x:c>
      <x:c r="D364" s="49" t="n">
        <x:f>D362+D363*'Assumptions'!$D$71</x:f>
        <x:v>0</x:v>
      </x:c>
      <x:c r="E364" s="49" t="n">
        <x:f>E362+E363*'Assumptions'!$D$71</x:f>
        <x:v>0</x:v>
      </x:c>
      <x:c r="F364" s="49" t="n">
        <x:f>F362+F363*'Assumptions'!$D$71</x:f>
        <x:v>0</x:v>
      </x:c>
      <x:c r="G364" s="49" t="n">
        <x:f>G362+G363*'Assumptions'!$D$71</x:f>
        <x:v>0</x:v>
      </x:c>
      <x:c r="H364" s="49" t="n">
        <x:f>H362+H363*'Assumptions'!$D$71</x:f>
        <x:v>0</x:v>
      </x:c>
      <x:c r="I364" s="49" t="n">
        <x:f>I362+I363*'Assumptions'!$D$71</x:f>
        <x:v>0</x:v>
      </x:c>
      <x:c r="J364" s="49" t="n">
        <x:f>J362+J363*'Assumptions'!$D$71</x:f>
        <x:v>1.5</x:v>
      </x:c>
      <x:c r="K364" s="1"/>
      <x:c r="L364" s="1"/>
      <x:c r="M364" s="1"/>
    </x:row>
    <x:row r="365" ht="22" customHeight="1">
      <x:c r="A365" s="1"/>
      <x:c r="B365" s="1"/>
      <x:c r="C365" s="1" t="str">
        <x:v>Cash acquisition spend</x:v>
      </x:c>
      <x:c r="D365" s="50" t="n">
        <x:f>D357*'Town inputs'!$F$58*(1-'Town inputs'!$D$66)^0*IF('Assumptions'!$D$3="Downside",'Town inputs'!$D$79,IF('Assumptions'!$D$3="Upside",'Town inputs'!$D$80,1))*(1+('Town inputs'!$D$103/'Town inputs'!$D$104-1)*0/6)</x:f>
        <x:v>0</x:v>
      </x:c>
      <x:c r="E365" s="50" t="n">
        <x:f>E357*'Town inputs'!$F$58*(1-'Town inputs'!$D$66)^1*IF('Assumptions'!$D$3="Downside",'Town inputs'!$D$79,IF('Assumptions'!$D$3="Upside",'Town inputs'!$D$80,1))*(1+('Town inputs'!$D$103/'Town inputs'!$D$104-1)*1/6)</x:f>
        <x:v>0</x:v>
      </x:c>
      <x:c r="F365" s="50" t="n">
        <x:f>F357*'Town inputs'!$F$58*(1-'Town inputs'!$D$66)^2*IF('Assumptions'!$D$3="Downside",'Town inputs'!$D$79,IF('Assumptions'!$D$3="Upside",'Town inputs'!$D$80,1))*(1+('Town inputs'!$D$103/'Town inputs'!$D$104-1)*2/6)</x:f>
        <x:v>0</x:v>
      </x:c>
      <x:c r="G365" s="50" t="n">
        <x:f>G357*'Town inputs'!$F$58*(1-'Town inputs'!$D$66)^3*IF('Assumptions'!$D$3="Downside",'Town inputs'!$D$79,IF('Assumptions'!$D$3="Upside",'Town inputs'!$D$80,1))*(1+('Town inputs'!$D$103/'Town inputs'!$D$104-1)*3/6)</x:f>
        <x:v>0</x:v>
      </x:c>
      <x:c r="H365" s="50" t="n">
        <x:f>H357*'Town inputs'!$F$58*(1-'Town inputs'!$D$66)^4*IF('Assumptions'!$D$3="Downside",'Town inputs'!$D$79,IF('Assumptions'!$D$3="Upside",'Town inputs'!$D$80,1))*(1+('Town inputs'!$D$103/'Town inputs'!$D$104-1)*4/6)</x:f>
        <x:v>0</x:v>
      </x:c>
      <x:c r="I365" s="50" t="n">
        <x:f>I357*'Town inputs'!$F$58*(1-'Town inputs'!$D$66)^5*IF('Assumptions'!$D$3="Downside",'Town inputs'!$D$79,IF('Assumptions'!$D$3="Upside",'Town inputs'!$D$80,1))*(1+('Town inputs'!$D$103/'Town inputs'!$D$104-1)*5/6)</x:f>
        <x:v>0</x:v>
      </x:c>
      <x:c r="J365" s="50" t="n">
        <x:f>J357*'Town inputs'!$F$58*(1-'Town inputs'!$D$66)^6*IF('Assumptions'!$D$3="Downside",'Town inputs'!$D$79,IF('Assumptions'!$D$3="Upside",'Town inputs'!$D$80,1))*(1+('Town inputs'!$D$103/'Town inputs'!$D$104-1)*6/6)</x:f>
        <x:v>5215.486607093881</x:v>
      </x:c>
      <x:c r="K365" s="1"/>
      <x:c r="L365" s="1"/>
      <x:c r="M365" s="1"/>
    </x:row>
    <x:row r="366" ht="22" customHeight="1">
      <x:c r="A366" s="1"/>
      <x:c r="B366" s="1"/>
      <x:c r="C366" s="1" t="str">
        <x:v>Launch spend</x:v>
      </x:c>
      <x:c r="D366" s="50" t="n">
        <x:f>IF(D349=1,'Town inputs'!$G$58*(1+'Town inputs'!$D$67)^0,0)</x:f>
        <x:v>0</x:v>
      </x:c>
      <x:c r="E366" s="50" t="n">
        <x:f>IF(E349=1,'Town inputs'!$G$58*(1+'Town inputs'!$D$67)^1,0)</x:f>
        <x:v>0</x:v>
      </x:c>
      <x:c r="F366" s="50" t="n">
        <x:f>IF(F349=1,'Town inputs'!$G$58*(1+'Town inputs'!$D$67)^2,0)</x:f>
        <x:v>0</x:v>
      </x:c>
      <x:c r="G366" s="50" t="n">
        <x:f>IF(G349=1,'Town inputs'!$G$58*(1+'Town inputs'!$D$67)^3,0)</x:f>
        <x:v>0</x:v>
      </x:c>
      <x:c r="H366" s="50" t="n">
        <x:f>IF(H349=1,'Town inputs'!$G$58*(1+'Town inputs'!$D$67)^4,0)</x:f>
        <x:v>0</x:v>
      </x:c>
      <x:c r="I366" s="50" t="n">
        <x:f>IF(I349=1,'Town inputs'!$G$58*(1+'Town inputs'!$D$67)^5,0)</x:f>
        <x:v>0</x:v>
      </x:c>
      <x:c r="J366" s="50" t="n">
        <x:f>IF(J349=1,'Town inputs'!$G$58*(1+'Town inputs'!$D$67)^6,0)</x:f>
        <x:v>17910.784447935002</x:v>
      </x:c>
      <x:c r="K366" s="1"/>
      <x:c r="L366" s="1"/>
      <x:c r="M366" s="1"/>
    </x:row>
    <x:row r="367" ht="22" customHeight="1">
      <x:c r="A367" s="1"/>
      <x:c r="B367" s="1"/>
      <x:c r="C367" s="1" t="str">
        <x:v>Annual local coverage</x:v>
      </x:c>
      <x:c r="D367" s="50" t="n">
        <x:f>IF(D349&gt;0,'Town inputs'!$H$58*(1+'Town inputs'!$D$67)^0*IF(D349=1,'Assumptions'!$D$71,1),0)</x:f>
        <x:v>0</x:v>
      </x:c>
      <x:c r="E367" s="50" t="n">
        <x:f>IF(E349&gt;0,'Town inputs'!$H$58*(1+'Town inputs'!$D$67)^1*IF(E349=1,'Assumptions'!$D$71,1),0)</x:f>
        <x:v>0</x:v>
      </x:c>
      <x:c r="F367" s="50" t="n">
        <x:f>IF(F349&gt;0,'Town inputs'!$H$58*(1+'Town inputs'!$D$67)^2*IF(F349=1,'Assumptions'!$D$71,1),0)</x:f>
        <x:v>0</x:v>
      </x:c>
      <x:c r="G367" s="50" t="n">
        <x:f>IF(G349&gt;0,'Town inputs'!$H$58*(1+'Town inputs'!$D$67)^3*IF(G349=1,'Assumptions'!$D$71,1),0)</x:f>
        <x:v>0</x:v>
      </x:c>
      <x:c r="H367" s="50" t="n">
        <x:f>IF(H349&gt;0,'Town inputs'!$H$58*(1+'Town inputs'!$D$67)^4*IF(H349=1,'Assumptions'!$D$71,1),0)</x:f>
        <x:v>0</x:v>
      </x:c>
      <x:c r="I367" s="50" t="n">
        <x:f>IF(I349&gt;0,'Town inputs'!$H$58*(1+'Town inputs'!$D$67)^5*IF(I349=1,'Assumptions'!$D$71,1),0)</x:f>
        <x:v>0</x:v>
      </x:c>
      <x:c r="J367" s="50" t="n">
        <x:f>IF(J349&gt;0,'Town inputs'!$H$58*(1+'Town inputs'!$D$67)^6*IF(J349=1,'Assumptions'!$D$71,1),0)</x:f>
        <x:v>3582.1568895870005</x:v>
      </x:c>
      <x:c r="K367" s="1"/>
      <x:c r="L367" s="1"/>
      <x:c r="M367" s="1"/>
    </x:row>
    <x:row r="368" ht="22" customHeight="1">
      <x:c r="A368" s="1"/>
      <x:c r="B368" s="1"/>
      <x:c r="C368" s="1"/>
      <x:c r="D368" s="6"/>
      <x:c r="E368" s="6"/>
      <x:c r="F368" s="6"/>
      <x:c r="G368" s="6"/>
      <x:c r="H368" s="6"/>
      <x:c r="I368" s="6"/>
      <x:c r="J368" s="6"/>
      <x:c r="K368" s="1"/>
      <x:c r="L368" s="1"/>
      <x:c r="M368" s="1"/>
    </x:row>
    <x:row r="369" ht="22" customHeight="1">
      <x:c r="A369" s="1"/>
      <x:c r="B369" s="1"/>
      <x:c r="C369" s="1"/>
      <x:c r="D369" s="6"/>
      <x:c r="E369" s="6"/>
      <x:c r="F369" s="6"/>
      <x:c r="G369" s="6"/>
      <x:c r="H369" s="6"/>
      <x:c r="I369" s="6"/>
      <x:c r="J369" s="6"/>
      <x:c r="K369" s="1"/>
      <x:c r="L369" s="1"/>
      <x:c r="M369" s="1"/>
    </x:row>
    <x:row r="370" ht="22" customHeight="1">
      <x:c r="A370" s="1"/>
      <x:c r="B370" s="1"/>
      <x:c r="C370" s="1"/>
      <x:c r="D370" s="6"/>
      <x:c r="E370" s="6"/>
      <x:c r="F370" s="6"/>
      <x:c r="G370" s="6"/>
      <x:c r="H370" s="6"/>
      <x:c r="I370" s="6"/>
      <x:c r="J370" s="6"/>
      <x:c r="K370" s="1"/>
      <x:c r="L370" s="1"/>
      <x:c r="M370" s="1"/>
    </x:row>
    <x:row r="371" ht="22" customHeight="1">
      <x:c r="A371" s="1"/>
      <x:c r="B371" s="1"/>
      <x:c r="C371" s="1"/>
      <x:c r="D371" s="6"/>
      <x:c r="E371" s="6"/>
      <x:c r="F371" s="6"/>
      <x:c r="G371" s="6"/>
      <x:c r="H371" s="6"/>
      <x:c r="I371" s="6"/>
      <x:c r="J371" s="6"/>
      <x:c r="K371" s="1"/>
      <x:c r="L371" s="1"/>
      <x:c r="M371" s="1"/>
    </x:row>
    <x:row r="372" ht="22" customHeight="1">
      <x:c r="A372" s="1"/>
      <x:c r="B372" s="1"/>
      <x:c r="C372" s="1"/>
      <x:c r="D372" s="6"/>
      <x:c r="E372" s="6"/>
      <x:c r="F372" s="6"/>
      <x:c r="G372" s="6"/>
      <x:c r="H372" s="6"/>
      <x:c r="I372" s="6"/>
      <x:c r="J372" s="6"/>
      <x:c r="K372" s="1"/>
      <x:c r="L372" s="1"/>
      <x:c r="M372" s="1"/>
    </x:row>
    <x:row r="373" ht="22" customHeight="1">
      <x:c r="A373" s="1"/>
      <x:c r="B373" s="1"/>
      <x:c r="C373" s="1"/>
      <x:c r="D373" s="6"/>
      <x:c r="E373" s="6"/>
      <x:c r="F373" s="6"/>
      <x:c r="G373" s="6"/>
      <x:c r="H373" s="6"/>
      <x:c r="I373" s="6"/>
      <x:c r="J373" s="6"/>
      <x:c r="K373" s="1"/>
      <x:c r="L373" s="1"/>
      <x:c r="M373" s="1"/>
    </x:row>
    <x:row r="374" ht="22" customHeight="1">
      <x:c r="A374" s="1"/>
      <x:c r="B374" s="1"/>
      <x:c r="C374" s="1"/>
      <x:c r="D374" s="6"/>
      <x:c r="E374" s="6"/>
      <x:c r="F374" s="6"/>
      <x:c r="G374" s="6"/>
      <x:c r="H374" s="6"/>
      <x:c r="I374" s="6"/>
      <x:c r="J374" s="6"/>
      <x:c r="K374" s="1"/>
      <x:c r="L374" s="1"/>
      <x:c r="M374" s="1"/>
    </x:row>
    <x:row r="375" ht="22" customHeight="1">
      <x:c r="A375" s="1"/>
      <x:c r="B375" s="1"/>
      <x:c r="C375" s="1"/>
      <x:c r="D375" s="6"/>
      <x:c r="E375" s="6"/>
      <x:c r="F375" s="6"/>
      <x:c r="G375" s="6"/>
      <x:c r="H375" s="6"/>
      <x:c r="I375" s="6"/>
      <x:c r="J375" s="6"/>
      <x:c r="K375" s="1"/>
      <x:c r="L375" s="1"/>
      <x:c r="M375" s="1"/>
    </x:row>
  </x:sheetData>
  <x:mergeCells>
    <x:mergeCell ref="C51:J52"/>
    <x:mergeCell ref="C54:J55"/>
    <x:mergeCell ref="C57:J58"/>
  </x:mergeCells>
  <x:pageMargins left="0.7" right="0.7" top="0.75" bottom="0.75" header="0.3" footer="0.3"/>
</x:worksheet>
</file>