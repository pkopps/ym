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ed4bbd327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4a267407ce4f5c"/>
    <x:sheet xmlns:r="http://schemas.openxmlformats.org/officeDocument/2006/relationships" name="Assumptions" sheetId="2" r:id="R6ab205749fb445a7"/>
    <x:sheet xmlns:r="http://schemas.openxmlformats.org/officeDocument/2006/relationships" name="Operating model" sheetId="3" r:id="R002275969a444642"/>
    <x:sheet xmlns:r="http://schemas.openxmlformats.org/officeDocument/2006/relationships" name="Ownership" sheetId="4" r:id="R65f2e0b6227f4d9d"/>
    <x:sheet xmlns:r="http://schemas.openxmlformats.org/officeDocument/2006/relationships" name="Unit economics" sheetId="5" r:id="Re90374b84c2f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-&quot;"/>
    <x:numFmt numFmtId="201" formatCode="0.0%"/>
    <x:numFmt numFmtId="202" formatCode="0.0"/>
    <x:numFmt numFmtId="203" formatCode="$0.00;($0.00);&quot;-&quot;"/>
    <x:numFmt numFmtId="204" formatCode="$#,##0;($#,##0);&quot;-&quot;"/>
    <x:numFmt numFmtId="205" formatCode="0.00"/>
    <x:numFmt numFmtId="206" formatCode="0.00%"/>
    <x:numFmt numFmtId="207" formatCode="0.0&quot;x&quot;"/>
  </x:numFmts>
  <x:fonts count="10">
    <x:font>
      <x:sz val="11"/>
      <x:name val="Carlito"/>
    </x:font>
    <x:font>
      <x:sz val="11"/>
      <x:color rgb="FF14281D"/>
      <x:name val="Arial"/>
    </x:font>
    <x:font>
      <x:b/>
      <x:sz val="20"/>
      <x:color rgb="FFFFFFFF"/>
      <x:name val="Arial"/>
    </x:font>
    <x:font>
      <x:b/>
      <x:sz val="11"/>
      <x:color rgb="FF14281D"/>
      <x:name val="Arial"/>
    </x:font>
    <x:font>
      <x:b/>
      <x:sz val="11"/>
      <x:color rgb="FF174DB8"/>
      <x:name val="Arial"/>
    </x:font>
    <x:font>
      <x:sz val="11"/>
      <x:color rgb="FF111111"/>
      <x:name val="Arial"/>
    </x:font>
    <x:font>
      <x:sz val="11"/>
      <x:color rgb="FF174DB8"/>
      <x:name val="Arial"/>
    </x:font>
    <x:font>
      <x:sz val="10"/>
      <x:color rgb="FF66756A"/>
      <x:name val="Arial"/>
    </x:font>
    <x:font>
      <x:sz val="11"/>
      <x:color rgb="FF205938"/>
      <x:name val="Arial"/>
    </x:font>
    <x:font>
      <x:b/>
      <x:sz val="16"/>
      <x:color rgb="FF2059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5938"/>
      </x:patternFill>
    </x:fill>
    <x:fill>
      <x:patternFill patternType="solid">
        <x:fgColor rgb="FFE9EFDF"/>
      </x:patternFill>
    </x:fill>
    <x:fill>
      <x:patternFill patternType="solid">
        <x:fgColor rgb="FFFFF2CE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3" borderId="0" xfId="0" applyNumberFormat="1" applyFont="1" applyFill="1" applyBorder="1"/>
    <x:xf numFmtId="202" fontId="5" fillId="0" borderId="0" xfId="0" applyNumberFormat="1" applyFont="1" applyFill="1" applyBorder="1"/>
    <x:xf numFmtId="202" fontId="6" fillId="0" borderId="0" xfId="0" applyNumberFormat="1" applyFont="1" applyFill="1" applyBorder="1"/>
    <x:xf numFmtId="202" fontId="5" fillId="3" borderId="0" xfId="0" applyNumberFormat="1" applyFont="1" applyFill="1" applyBorder="1"/>
    <x:xf numFmtId="203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5" fillId="3" borderId="0" xfId="0" applyNumberFormat="1" applyFont="1" applyFill="1" applyBorder="1"/>
    <x:xf numFmtId="204" fontId="5" fillId="0" borderId="0" xfId="0" applyNumberFormat="1" applyFont="1" applyFill="1" applyBorder="1"/>
    <x:xf numFmtId="204" fontId="6" fillId="0" borderId="0" xfId="0" applyNumberFormat="1" applyFont="1" applyFill="1" applyBorder="1"/>
    <x:xf numFmtId="204" fontId="5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205" fontId="5" fillId="0" borderId="0" xfId="0" applyNumberFormat="1" applyFont="1" applyFill="1" applyBorder="1"/>
    <x:xf numFmtId="204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3" borderId="0" xfId="0" applyNumberFormat="1" applyFont="1" applyFill="1" applyBorder="1"/>
    <x:xf numFmtId="201" fontId="8" fillId="0" borderId="0" xfId="0" applyNumberFormat="1" applyFont="1" applyFill="1" applyBorder="1"/>
    <x:xf numFmtId="207" fontId="5" fillId="0" borderId="0" xfId="0" applyNumberFormat="1" applyFont="1" applyFill="1" applyBorder="1"/>
    <x:xf numFmtId="202" fontId="8" fillId="0" borderId="0" xfId="0" applyNumberFormat="1" applyFont="1" applyFill="1" applyBorder="1"/>
    <x:xf numFmtId="203" fontId="8" fillId="3" borderId="0" xfId="0" applyNumberFormat="1" applyFont="1" applyFill="1" applyBorder="1"/>
    <x:xf numFmtId="203" fontId="1" fillId="3" borderId="0" xfId="0" applyNumberFormat="1" applyFont="1" applyFill="1" applyBorder="1"/>
    <x:xf numFmtId="207" fontId="5" fillId="3" borderId="0" xfId="0" applyNumberFormat="1" applyFont="1" applyFill="1" applyBorder="1"/>
    <x:xf numFmtId="0" fontId="9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9D3C30"/>
      </x:font>
      <x:fill>
        <x:patternFill patternType="solid">
          <x:bgColor rgb="FFFDE5DD"/>
        </x:patternFill>
      </x:fill>
    </x:dxf>
    <x:dxf>
      <x:font>
        <x:color rgb="FF9D3C30"/>
      </x:font>
      <x:fill>
        <x:patternFill patternType="solid">
          <x:bgColor rgb="FFFDE5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d4e4a308f452a" /><Relationship Type="http://schemas.openxmlformats.org/officeDocument/2006/relationships/theme" Target="/xl/theme/theme1.xml" Id="R9b5032e1d42c4327" /><Relationship Type="http://schemas.openxmlformats.org/officeDocument/2006/relationships/sharedStrings" Target="/xl/sharedStrings.xml" Id="R9b7e8209193f45f6" /><Relationship Type="http://schemas.openxmlformats.org/officeDocument/2006/relationships/worksheet" Target="/xl/worksheets/sheet1.xml" Id="R824a267407ce4f5c" /><Relationship Type="http://schemas.openxmlformats.org/officeDocument/2006/relationships/worksheet" Target="/xl/worksheets/sheet2.xml" Id="R6ab205749fb445a7" /><Relationship Type="http://schemas.openxmlformats.org/officeDocument/2006/relationships/worksheet" Target="/xl/worksheets/sheet3.xml" Id="R002275969a444642" /><Relationship Type="http://schemas.openxmlformats.org/officeDocument/2006/relationships/worksheet" Target="/xl/worksheets/sheet4.xml" Id="R65f2e0b6227f4d9d" /><Relationship Type="http://schemas.openxmlformats.org/officeDocument/2006/relationships/worksheet" Target="/xl/worksheets/sheet5.xml" Id="Re90374b84c2f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59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78" hidden="0" customWidth="1"/>
  </x:cols>
  <x:sheetData>
    <x:row r="1" ht="22" customHeight="1">
      <x:c r="A1" s="1"/>
      <x:c r="B1" s="1"/>
      <x:c r="C1"/>
      <x:c r="D1"/>
      <x:c r="E1"/>
      <x:c r="F1"/>
      <x:c r="G1"/>
      <x:c r="H1"/>
      <x:c r="I1"/>
      <x:c r="J1"/>
      <x:c r="K1" s="1"/>
      <x:c r="L1" s="1"/>
      <x:c r="M1" s="1"/>
    </x:row>
    <x:row r="2" ht="22" customHeight="1">
      <x:c r="A2" s="1"/>
      <x:c r="B2" s="1"/>
      <x:c r="C2" s="48" t="str">
        <x:v>YardMatch - Investor model</x:v>
      </x:c>
      <x:c r="D2"/>
      <x:c r="E2"/>
      <x:c r="F2"/>
      <x:c r="G2"/>
      <x:c r="H2"/>
      <x:c r="I2"/>
      <x:c r="J2"/>
      <x:c r="K2" s="1"/>
      <x:c r="L2" s="1"/>
      <x:c r="M2" s="1"/>
    </x:row>
    <x:row r="3" ht="22" customHeight="1">
      <x:c r="A3" s="1"/>
      <x:c r="B3" s="1"/>
      <x:c r="C3" s="1" t="str">
        <x:v>Active case</x:v>
      </x:c>
      <x:c r="D3" s="33" t="str">
        <x:f>'Assumptions'!D3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"/>
      <x:c r="B5" s="1"/>
      <x:c r="C5" s="49"/>
      <x:c r="D5" s="49" t="n">
        <x:v>2027</x:v>
      </x:c>
      <x:c r="E5" s="49" t="n">
        <x:v>2028</x:v>
      </x:c>
      <x:c r="F5" s="49" t="n">
        <x:v>2029</x:v>
      </x:c>
      <x:c r="G5" s="49" t="n">
        <x:v>2030</x:v>
      </x:c>
      <x:c r="H5" s="49" t="n">
        <x:v>2031</x:v>
      </x:c>
      <x:c r="I5" s="49" t="n">
        <x:v>2032</x:v>
      </x:c>
      <x:c r="J5" s="49" t="n">
        <x:v>2033</x:v>
      </x:c>
      <x:c r="K5" s="1"/>
      <x:c r="L5" s="1"/>
      <x:c r="M5" s="1"/>
    </x:row>
    <x:row r="6" ht="22" customHeight="1">
      <x:c r="A6" s="1"/>
      <x:c r="B6" s="1"/>
      <x:c r="C6" s="1"/>
      <x:c r="D6" s="6"/>
      <x:c r="E6" s="6"/>
      <x:c r="F6" s="6"/>
      <x:c r="G6" s="6"/>
      <x:c r="H6" s="6"/>
      <x:c r="I6" s="6"/>
      <x:c r="J6" s="6"/>
      <x:c r="K6" s="1"/>
      <x:c r="L6" s="1"/>
      <x:c r="M6" s="1"/>
    </x:row>
    <x:row r="7" ht="22" customHeight="1">
      <x:c r="A7" s="1"/>
      <x:c r="B7" s="1"/>
      <x:c r="C7" s="1" t="str">
        <x:v>Ending paying households</x:v>
      </x:c>
      <x:c r="D7" s="6" t="n">
        <x:f>'Operating model'!D10</x:f>
        <x:v>500</x:v>
      </x:c>
      <x:c r="E7" s="6" t="n">
        <x:f>'Operating model'!E10</x:f>
        <x:v>2850</x:v>
      </x:c>
      <x:c r="F7" s="6" t="n">
        <x:f>'Operating model'!F10</x:f>
        <x:v>11137.5</x:v>
      </x:c>
      <x:c r="G7" s="6" t="n">
        <x:f>'Operating model'!G10</x:f>
        <x:v>33687.25</x:v>
      </x:c>
      <x:c r="H7" s="6" t="n">
        <x:f>'Operating model'!H10</x:f>
        <x:v>81949.8</x:v>
      </x:c>
      <x:c r="I7" s="6" t="n">
        <x:f>'Operating model'!I10</x:f>
        <x:v>165559.84000000003</x:v>
      </x:c>
      <x:c r="J7" s="6" t="n">
        <x:f>'Operating model'!J10</x:f>
        <x:v>292447.87200000003</x:v>
      </x:c>
      <x:c r="K7" s="1"/>
      <x:c r="L7" s="1"/>
      <x:c r="M7" s="1"/>
    </x:row>
    <x:row r="8" ht="22" customHeight="1">
      <x:c r="A8" s="1"/>
      <x:c r="B8" s="1"/>
      <x:c r="C8" s="1" t="str">
        <x:v>Ending providers</x:v>
      </x:c>
      <x:c r="D8" s="6" t="n">
        <x:f>'Operating model'!D18</x:f>
        <x:v>20</x:v>
      </x:c>
      <x:c r="E8" s="6" t="n">
        <x:f>'Operating model'!E18</x:f>
        <x:v>72</x:v>
      </x:c>
      <x:c r="F8" s="6" t="n">
        <x:f>'Operating model'!F18</x:f>
        <x:v>279</x:v>
      </x:c>
      <x:c r="G8" s="6" t="n">
        <x:f>'Operating model'!G18</x:f>
        <x:v>843</x:v>
      </x:c>
      <x:c r="H8" s="6" t="n">
        <x:f>'Operating model'!H18</x:f>
        <x:v>2049</x:v>
      </x:c>
      <x:c r="I8" s="6" t="n">
        <x:f>'Operating model'!I18</x:f>
        <x:v>4139</x:v>
      </x:c>
      <x:c r="J8" s="6" t="n">
        <x:f>'Operating model'!J18</x:f>
        <x:v>7312</x:v>
      </x:c>
      <x:c r="K8" s="1"/>
      <x:c r="L8" s="1"/>
      <x:c r="M8" s="1"/>
    </x:row>
    <x:row r="9" ht="22" customHeight="1">
      <x:c r="A9" s="1"/>
      <x:c r="B9" s="1"/>
      <x:c r="C9" s="1" t="str">
        <x:v>Paid completed jobs on platform</x:v>
      </x:c>
      <x:c r="D9" s="6" t="n">
        <x:f>'Operating model'!D13</x:f>
        <x:v>4275</x:v>
      </x:c>
      <x:c r="E9" s="6" t="n">
        <x:f>'Operating model'!E13</x:f>
        <x:v>27360</x:v>
      </x:c>
      <x:c r="F9" s="6" t="n">
        <x:f>'Operating model'!F13</x:f>
        <x:v>113501.25</x:v>
      </x:c>
      <x:c r="G9" s="6" t="n">
        <x:f>'Operating model'!G13</x:f>
        <x:v>362301.975</x:v>
      </x:c>
      <x:c r="H9" s="6" t="n">
        <x:f>'Operating model'!H13</x:f>
        <x:v>931091.58</x:v>
      </x:c>
      <x:c r="I9" s="6" t="n">
        <x:f>'Operating model'!I13</x:f>
        <x:v>1976073.2640000002</x:v>
      </x:c>
      <x:c r="J9" s="6" t="n">
        <x:f>'Operating model'!J13</x:f>
        <x:v>3632858.6112</x:v>
      </x:c>
      <x:c r="K9" s="1"/>
      <x:c r="L9" s="1"/>
      <x:c r="M9" s="1"/>
    </x:row>
    <x:row r="10" ht="22" customHeight="1">
      <x:c r="A10" s="1"/>
      <x:c r="B10" s="1"/>
      <x:c r="C10" s="1"/>
      <x:c r="D10" s="6"/>
      <x:c r="E10" s="6"/>
      <x:c r="F10" s="6"/>
      <x:c r="G10" s="6"/>
      <x:c r="H10" s="6"/>
      <x:c r="I10" s="6"/>
      <x:c r="J10" s="6"/>
      <x:c r="K10" s="1"/>
      <x:c r="L10" s="1"/>
      <x:c r="M10" s="1"/>
    </x:row>
    <x:row r="11" ht="22" customHeight="1">
      <x:c r="A11" s="1"/>
      <x:c r="B11" s="1"/>
      <x:c r="C11" s="1" t="str">
        <x:v>Service GMV</x:v>
      </x:c>
      <x:c r="D11" s="38" t="n">
        <x:f>'Operating model'!D14</x:f>
        <x:v>256500</x:v>
      </x:c>
      <x:c r="E11" s="38" t="n">
        <x:f>'Operating model'!E14</x:f>
        <x:v>1641600</x:v>
      </x:c>
      <x:c r="F11" s="38" t="n">
        <x:f>'Operating model'!F14</x:f>
        <x:v>6810075</x:v>
      </x:c>
      <x:c r="G11" s="38" t="n">
        <x:f>'Operating model'!G14</x:f>
        <x:v>21738118.5</x:v>
      </x:c>
      <x:c r="H11" s="38" t="n">
        <x:f>'Operating model'!H14</x:f>
        <x:v>55865494.8</x:v>
      </x:c>
      <x:c r="I11" s="38" t="n">
        <x:f>'Operating model'!I14</x:f>
        <x:v>118564395.84000002</x:v>
      </x:c>
      <x:c r="J11" s="38" t="n">
        <x:f>'Operating model'!J14</x:f>
        <x:v>217971516.67200002</x:v>
      </x:c>
      <x:c r="K11" s="1"/>
      <x:c r="L11" s="1"/>
      <x:c r="M11" s="1"/>
    </x:row>
    <x:row r="12" ht="22" customHeight="1">
      <x:c r="A12" s="1"/>
      <x:c r="B12" s="1"/>
      <x:c r="C12" s="1" t="str">
        <x:v>Finder-fee revenue</x:v>
      </x:c>
      <x:c r="D12" s="38" t="n">
        <x:f>'Operating model'!D24</x:f>
        <x:v>21600</x:v>
      </x:c>
      <x:c r="E12" s="38" t="n">
        <x:f>'Operating model'!E24</x:f>
        <x:v>110025</x:v>
      </x:c>
      <x:c r="F12" s="38" t="n">
        <x:f>'Operating model'!F24</x:f>
        <x:v>395199.00000000006</x:v>
      </x:c>
      <x:c r="G12" s="38" t="n">
        <x:f>'Operating model'!G24</x:f>
        <x:v>1097736.75</x:v>
      </x:c>
      <x:c r="H12" s="38" t="n">
        <x:f>'Operating model'!H24</x:f>
        <x:v>2415039.75</x:v>
      </x:c>
      <x:c r="I12" s="38" t="n">
        <x:f>'Operating model'!I24</x:f>
        <x:v>4392119.25</x:v>
      </x:c>
      <x:c r="J12" s="38" t="n">
        <x:f>'Operating model'!J24</x:f>
        <x:v>7029276.75</x:v>
      </x:c>
      <x:c r="K12" s="1"/>
      <x:c r="L12" s="1"/>
      <x:c r="M12" s="1"/>
    </x:row>
    <x:row r="13" ht="22" customHeight="1">
      <x:c r="A13" s="1"/>
      <x:c r="B13" s="1"/>
      <x:c r="C13" s="1" t="str">
        <x:v>Recurring service-fee revenue</x:v>
      </x:c>
      <x:c r="D13" s="38" t="n">
        <x:f>'Operating model'!D25</x:f>
        <x:v>12782.250000000002</x:v>
      </x:c>
      <x:c r="E13" s="38" t="n">
        <x:f>'Operating model'!E25</x:f>
        <x:v>81806.40000000001</x:v>
      </x:c>
      <x:c r="F13" s="38" t="n">
        <x:f>'Operating model'!F25</x:f>
        <x:v>339368.73750000005</x:v>
      </x:c>
      <x:c r="G13" s="38" t="n">
        <x:f>'Operating model'!G25</x:f>
        <x:v>1083282.90525</x:v>
      </x:c>
      <x:c r="H13" s="38" t="n">
        <x:f>'Operating model'!H25</x:f>
        <x:v>2783963.8242</x:v>
      </x:c>
      <x:c r="I13" s="38" t="n">
        <x:f>'Operating model'!I25</x:f>
        <x:v>5908459.059360001</x:v>
      </x:c>
      <x:c r="J13" s="38" t="n">
        <x:f>'Operating model'!J25</x:f>
        <x:v>10862247.247488001</x:v>
      </x:c>
      <x:c r="K13" s="1"/>
      <x:c r="L13" s="1"/>
      <x:c r="M13" s="1"/>
    </x:row>
    <x:row r="14" ht="22" customHeight="1">
      <x:c r="A14" s="1"/>
      <x:c r="B14" s="1"/>
      <x:c r="C14" s="4" t="str">
        <x:v>Net marketplace revenue</x:v>
      </x:c>
      <x:c r="D14" s="41" t="n">
        <x:f>'Operating model'!D26</x:f>
        <x:v>34382.25</x:v>
      </x:c>
      <x:c r="E14" s="41" t="n">
        <x:f>'Operating model'!E26</x:f>
        <x:v>191831.40000000002</x:v>
      </x:c>
      <x:c r="F14" s="41" t="n">
        <x:f>'Operating model'!F26</x:f>
        <x:v>734567.7375</x:v>
      </x:c>
      <x:c r="G14" s="41" t="n">
        <x:f>'Operating model'!G26</x:f>
        <x:v>2181019.65525</x:v>
      </x:c>
      <x:c r="H14" s="41" t="n">
        <x:f>'Operating model'!H26</x:f>
        <x:v>5199003.574200001</x:v>
      </x:c>
      <x:c r="I14" s="41" t="n">
        <x:f>'Operating model'!I26</x:f>
        <x:v>10300578.309360001</x:v>
      </x:c>
      <x:c r="J14" s="41" t="n">
        <x:f>'Operating model'!J26</x:f>
        <x:v>17891523.997488</x:v>
      </x:c>
      <x:c r="K14" s="1"/>
      <x:c r="L14" s="1"/>
      <x:c r="M14" s="1"/>
    </x:row>
    <x:row r="15" ht="22" customHeight="1">
      <x:c r="A15" s="1"/>
      <x:c r="B15" s="1"/>
      <x:c r="C15" s="1"/>
      <x:c r="D15" s="6"/>
      <x:c r="E15" s="6"/>
      <x:c r="F15" s="6"/>
      <x:c r="G15" s="6"/>
      <x:c r="H15" s="6"/>
      <x:c r="I15" s="6"/>
      <x:c r="J15" s="6"/>
      <x:c r="K15" s="1"/>
      <x:c r="L15" s="1"/>
      <x:c r="M15" s="1"/>
    </x:row>
    <x:row r="16" ht="22" customHeight="1">
      <x:c r="A16" s="1"/>
      <x:c r="B16" s="1"/>
      <x:c r="C16" s="4" t="str">
        <x:v>Gross profit</x:v>
      </x:c>
      <x:c r="D16" s="41" t="n">
        <x:f>'Operating model'!D40</x:f>
        <x:v>23014.505624999998</x:v>
      </x:c>
      <x:c r="E16" s="41" t="n">
        <x:f>'Operating model'!E40</x:f>
        <x:v>123433.82850000002</x:v>
      </x:c>
      <x:c r="F16" s="41" t="n">
        <x:f>'Operating model'!F40</x:f>
        <x:v>467694.0008437501</x:v>
      </x:c>
      <x:c r="G16" s="41" t="n">
        <x:f>'Operating model'!G40</x:f>
        <x:v>1382973.848788125</x:v>
      </x:c>
      <x:c r="H16" s="41" t="n">
        <x:f>'Operating model'!H40</x:f>
        <x:v>3289048.0532355006</x:v>
      </x:c>
      <x:c r="I16" s="41" t="n">
        <x:f>'Operating model'!I40</x:f>
        <x:v>6407913.0045054015</x:v>
      </x:c>
      <x:c r="J16" s="41" t="n">
        <x:f>'Operating model'!J40</x:f>
        <x:v>11022449.360752918</x:v>
      </x:c>
      <x:c r="K16" s="1"/>
      <x:c r="L16" s="1"/>
      <x:c r="M16" s="1"/>
    </x:row>
    <x:row r="17" ht="22" customHeight="1">
      <x:c r="A17" s="1"/>
      <x:c r="B17" s="1"/>
      <x:c r="C17" s="1" t="str">
        <x:v>Gross margin</x:v>
      </x:c>
      <x:c r="D17" s="39" t="n">
        <x:f>'Operating model'!D41</x:f>
        <x:v>0.6693717143293414</x:v>
      </x:c>
      <x:c r="E17" s="39" t="n">
        <x:f>'Operating model'!E41</x:f>
        <x:v>0.6434495525758557</x:v>
      </x:c>
      <x:c r="F17" s="39" t="n">
        <x:f>'Operating model'!F41</x:f>
        <x:v>0.6366928153358355</x:v>
      </x:c>
      <x:c r="G17" s="39" t="n">
        <x:f>'Operating model'!G41</x:f>
        <x:v>0.6340950873409719</x:v>
      </x:c>
      <x:c r="H17" s="39" t="n">
        <x:f>'Operating model'!H41</x:f>
        <x:v>0.6326304658756855</x:v>
      </x:c>
      <x:c r="I17" s="39" t="n">
        <x:f>'Operating model'!I41</x:f>
        <x:v>0.6220925478215737</x:v>
      </x:c>
      <x:c r="J17" s="39" t="n">
        <x:f>'Operating model'!J41</x:f>
        <x:v>0.6160710156552616</x:v>
      </x:c>
      <x:c r="K17" s="1"/>
      <x:c r="L17" s="1"/>
      <x:c r="M17" s="1"/>
    </x:row>
    <x:row r="18" ht="22" customHeight="1">
      <x:c r="A18" s="1"/>
      <x:c r="B18" s="1"/>
      <x:c r="C18" s="1"/>
      <x:c r="D18" s="6"/>
      <x:c r="E18" s="6"/>
      <x:c r="F18" s="6"/>
      <x:c r="G18" s="6"/>
      <x:c r="H18" s="6"/>
      <x:c r="I18" s="6"/>
      <x:c r="J18" s="6"/>
      <x:c r="K18" s="1"/>
      <x:c r="L18" s="1"/>
      <x:c r="M18" s="1"/>
    </x:row>
    <x:row r="19" ht="22" customHeight="1">
      <x:c r="A19" s="1"/>
      <x:c r="B19" s="1"/>
      <x:c r="C19" s="1" t="str">
        <x:v>Customer acquisition spend</x:v>
      </x:c>
      <x:c r="D19" s="38" t="n">
        <x:f>'Operating model'!D43</x:f>
        <x:v>27500</x:v>
      </x:c>
      <x:c r="E19" s="38" t="n">
        <x:f>'Operating model'!E43</x:f>
        <x:v>125000</x:v>
      </x:c>
      <x:c r="F19" s="38" t="n">
        <x:f>'Operating model'!F43</x:f>
        <x:v>405000</x:v>
      </x:c>
      <x:c r="G19" s="38" t="n">
        <x:f>'Operating model'!G43</x:f>
        <x:v>1000000</x:v>
      </x:c>
      <x:c r="H19" s="38" t="n">
        <x:f>'Operating model'!H43</x:f>
        <x:v>1925000</x:v>
      </x:c>
      <x:c r="I19" s="38" t="n">
        <x:f>'Operating model'!I43</x:f>
        <x:v>3000000</x:v>
      </x:c>
      <x:c r="J19" s="38" t="n">
        <x:f>'Operating model'!J43</x:f>
        <x:v>4480000</x:v>
      </x:c>
      <x:c r="K19" s="1"/>
      <x:c r="L19" s="1"/>
      <x:c r="M19" s="1"/>
    </x:row>
    <x:row r="20" ht="22" customHeight="1">
      <x:c r="A20" s="1"/>
      <x:c r="B20" s="1"/>
      <x:c r="C20" s="1" t="str">
        <x:v>Provider onboarding spend</x:v>
      </x:c>
      <x:c r="D20" s="38" t="n">
        <x:f>'Operating model'!D44</x:f>
        <x:v>1500</x:v>
      </x:c>
      <x:c r="E20" s="38" t="n">
        <x:f>'Operating model'!E44</x:f>
        <x:v>4125</x:v>
      </x:c>
      <x:c r="F20" s="38" t="n">
        <x:f>'Operating model'!F44</x:f>
        <x:v>16335</x:v>
      </x:c>
      <x:c r="G20" s="38" t="n">
        <x:f>'Operating model'!G44</x:f>
        <x:v>45438.75</x:v>
      </x:c>
      <x:c r="H20" s="38" t="n">
        <x:f>'Operating model'!H44</x:f>
        <x:v>99933.75</x:v>
      </x:c>
      <x:c r="I20" s="38" t="n">
        <x:f>'Operating model'!I44</x:f>
        <x:v>179801.25000000003</x:v>
      </x:c>
      <x:c r="J20" s="38" t="n">
        <x:f>'Operating model'!J44</x:f>
        <x:v>284538.75</x:v>
      </x:c>
      <x:c r="K20" s="1"/>
      <x:c r="L20" s="1"/>
      <x:c r="M20" s="1"/>
    </x:row>
    <x:row r="21" ht="22" customHeight="1">
      <x:c r="A21" s="1"/>
      <x:c r="B21" s="1"/>
      <x:c r="C21" s="1" t="str">
        <x:v>Payroll expense</x:v>
      </x:c>
      <x:c r="D21" s="38" t="n">
        <x:f>'Operating model'!D49</x:f>
        <x:v>300000</x:v>
      </x:c>
      <x:c r="E21" s="38" t="n">
        <x:f>'Operating model'!E49</x:f>
        <x:v>525000</x:v>
      </x:c>
      <x:c r="F21" s="38" t="n">
        <x:f>'Operating model'!F49</x:f>
        <x:v>880000</x:v>
      </x:c>
      <x:c r="G21" s="38" t="n">
        <x:f>'Operating model'!G49</x:f>
        <x:v>1380000</x:v>
      </x:c>
      <x:c r="H21" s="38" t="n">
        <x:f>'Operating model'!H49</x:f>
        <x:v>2160000</x:v>
      </x:c>
      <x:c r="I21" s="38" t="n">
        <x:f>'Operating model'!I49</x:f>
        <x:v>3250000</x:v>
      </x:c>
      <x:c r="J21" s="38" t="n">
        <x:f>'Operating model'!J49</x:f>
        <x:v>4680000</x:v>
      </x:c>
      <x:c r="K21" s="1"/>
      <x:c r="L21" s="1"/>
      <x:c r="M21" s="1"/>
    </x:row>
    <x:row r="22" ht="22" customHeight="1">
      <x:c r="A22" s="1"/>
      <x:c r="B22" s="1"/>
      <x:c r="C22" s="1" t="str">
        <x:v>Fixed overhead</x:v>
      </x:c>
      <x:c r="D22" s="38" t="n">
        <x:f>'Operating model'!D50</x:f>
        <x:v>60000</x:v>
      </x:c>
      <x:c r="E22" s="38" t="n">
        <x:f>'Operating model'!E50</x:f>
        <x:v>100000</x:v>
      </x:c>
      <x:c r="F22" s="38" t="n">
        <x:f>'Operating model'!F50</x:f>
        <x:v>160000</x:v>
      </x:c>
      <x:c r="G22" s="38" t="n">
        <x:f>'Operating model'!G50</x:f>
        <x:v>250000</x:v>
      </x:c>
      <x:c r="H22" s="38" t="n">
        <x:f>'Operating model'!H50</x:f>
        <x:v>400000</x:v>
      </x:c>
      <x:c r="I22" s="38" t="n">
        <x:f>'Operating model'!I50</x:f>
        <x:v>600000</x:v>
      </x:c>
      <x:c r="J22" s="38" t="n">
        <x:f>'Operating model'!J50</x:f>
        <x:v>800000</x:v>
      </x:c>
      <x:c r="K22" s="1"/>
      <x:c r="L22" s="1"/>
      <x:c r="M22" s="1"/>
    </x:row>
    <x:row r="23" ht="22" customHeight="1">
      <x:c r="A23" s="1"/>
      <x:c r="B23" s="1"/>
      <x:c r="C23" s="1"/>
      <x:c r="D23" s="6"/>
      <x:c r="E23" s="6"/>
      <x:c r="F23" s="6"/>
      <x:c r="G23" s="6"/>
      <x:c r="H23" s="6"/>
      <x:c r="I23" s="6"/>
      <x:c r="J23" s="6"/>
      <x:c r="K23" s="1"/>
      <x:c r="L23" s="1"/>
      <x:c r="M23" s="1"/>
    </x:row>
    <x:row r="24" ht="22" customHeight="1">
      <x:c r="A24" s="1"/>
      <x:c r="B24" s="1"/>
      <x:c r="C24" s="4" t="str">
        <x:v>EBITDA</x:v>
      </x:c>
      <x:c r="D24" s="41" t="n">
        <x:f>'Operating model'!D51</x:f>
        <x:v>-365985.494375</x:v>
      </x:c>
      <x:c r="E24" s="41" t="n">
        <x:f>'Operating model'!E51</x:f>
        <x:v>-630691.1714999999</x:v>
      </x:c>
      <x:c r="F24" s="41" t="n">
        <x:f>'Operating model'!F51</x:f>
        <x:v>-993640.9991562499</x:v>
      </x:c>
      <x:c r="G24" s="41" t="n">
        <x:f>'Operating model'!G51</x:f>
        <x:v>-1292464.901211875</x:v>
      </x:c>
      <x:c r="H24" s="41" t="n">
        <x:f>'Operating model'!H51</x:f>
        <x:v>-1295885.6967644994</x:v>
      </x:c>
      <x:c r="I24" s="41" t="n">
        <x:f>'Operating model'!I51</x:f>
        <x:v>-621888.2454945985</x:v>
      </x:c>
      <x:c r="J24" s="41" t="n">
        <x:f>'Operating model'!J51</x:f>
        <x:v>777910.6107529178</x:v>
      </x:c>
      <x:c r="K24" s="1"/>
      <x:c r="L24" s="1"/>
      <x:c r="M24" s="1"/>
    </x:row>
    <x:row r="25" ht="22" customHeight="1">
      <x:c r="A25" s="1"/>
      <x:c r="B25" s="1"/>
      <x:c r="C25" s="1" t="str">
        <x:v>Operating profit / EBIT</x:v>
      </x:c>
      <x:c r="D25" s="38" t="n">
        <x:f>'Operating model'!D53</x:f>
        <x:v>-370985.494375</x:v>
      </x:c>
      <x:c r="E25" s="38" t="n">
        <x:f>'Operating model'!E53</x:f>
        <x:v>-644024.5048333333</x:v>
      </x:c>
      <x:c r="F25" s="38" t="n">
        <x:f>'Operating model'!F53</x:f>
        <x:v>-1020307.6658229165</x:v>
      </x:c>
      <x:c r="G25" s="38" t="n">
        <x:f>'Operating model'!G53</x:f>
        <x:v>-1334131.5678785418</x:v>
      </x:c>
      <x:c r="H25" s="38" t="n">
        <x:f>'Operating model'!H53</x:f>
        <x:v>-1359219.0300978327</x:v>
      </x:c>
      <x:c r="I25" s="38" t="n">
        <x:f>'Operating model'!I53</x:f>
        <x:v>-715221.5788279319</x:v>
      </x:c>
      <x:c r="J25" s="38" t="n">
        <x:f>'Operating model'!J53</x:f>
        <x:v>644577.2774195845</x:v>
      </x:c>
      <x:c r="K25" s="1"/>
      <x:c r="L25" s="1"/>
      <x:c r="M25" s="1"/>
    </x:row>
    <x:row r="26" ht="22" customHeight="1">
      <x:c r="A26" s="1"/>
      <x:c r="B26" s="1"/>
      <x:c r="C26" s="4" t="str">
        <x:v>Net income proxy</x:v>
      </x:c>
      <x:c r="D26" s="41" t="n">
        <x:f>'Operating model'!D55</x:f>
        <x:v>-370985.494375</x:v>
      </x:c>
      <x:c r="E26" s="41" t="n">
        <x:f>'Operating model'!E55</x:f>
        <x:v>-644024.5048333333</x:v>
      </x:c>
      <x:c r="F26" s="41" t="n">
        <x:f>'Operating model'!F55</x:f>
        <x:v>-1020307.6658229165</x:v>
      </x:c>
      <x:c r="G26" s="41" t="n">
        <x:f>'Operating model'!G55</x:f>
        <x:v>-1334131.5678785418</x:v>
      </x:c>
      <x:c r="H26" s="41" t="n">
        <x:f>'Operating model'!H55</x:f>
        <x:v>-1359219.0300978327</x:v>
      </x:c>
      <x:c r="I26" s="41" t="n">
        <x:f>'Operating model'!I55</x:f>
        <x:v>-715221.5788279319</x:v>
      </x:c>
      <x:c r="J26" s="41" t="n">
        <x:f>'Operating model'!J55</x:f>
        <x:v>483432.95806468837</x:v>
      </x:c>
      <x:c r="K26" s="1"/>
      <x:c r="L26" s="1"/>
      <x:c r="M26" s="1"/>
    </x:row>
    <x:row r="27" ht="22" customHeight="1">
      <x:c r="A27" s="1"/>
      <x:c r="B27" s="1"/>
      <x:c r="C27" s="1"/>
      <x:c r="D27" s="6"/>
      <x:c r="E27" s="6"/>
      <x:c r="F27" s="6"/>
      <x:c r="G27" s="6"/>
      <x:c r="H27" s="6"/>
      <x:c r="I27" s="6"/>
      <x:c r="J27" s="6"/>
      <x:c r="K27" s="1"/>
      <x:c r="L27" s="1"/>
      <x:c r="M27" s="1"/>
    </x:row>
    <x:row r="28" ht="22" customHeight="1">
      <x:c r="A28" s="1"/>
      <x:c r="B28" s="1"/>
      <x:c r="C28" s="4" t="str">
        <x:v>Free cash flow before financing</x:v>
      </x:c>
      <x:c r="D28" s="41" t="n">
        <x:f>'Operating model'!D60</x:f>
        <x:v>-383550.494375</x:v>
      </x:c>
      <x:c r="E28" s="41" t="n">
        <x:f>'Operating model'!E60</x:f>
        <x:v>-669542.1714999999</x:v>
      </x:c>
      <x:c r="F28" s="41" t="n">
        <x:f>'Operating model'!F60</x:f>
        <x:v>-1085325.74915625</x:v>
      </x:c>
      <x:c r="G28" s="41" t="n">
        <x:f>'Operating model'!G60</x:f>
        <x:v>-1501745.336211875</x:v>
      </x:c>
      <x:c r="H28" s="41" t="n">
        <x:f>'Operating model'!H60</x:f>
        <x:v>-1727159.4597644995</x:v>
      </x:c>
      <x:c r="I28" s="41" t="n">
        <x:f>'Operating model'!I60</x:f>
        <x:v>-1378877.2558945986</x:v>
      </x:c>
      <x:c r="J28" s="41" t="n">
        <x:f>'Operating model'!J60</x:f>
        <x:v>-557304.9169219782</x:v>
      </x:c>
      <x:c r="K28" s="1"/>
      <x:c r="L28" s="1"/>
      <x:c r="M28" s="1"/>
    </x:row>
    <x:row r="29" ht="22" customHeight="1">
      <x:c r="A29" s="1"/>
      <x:c r="B29" s="1"/>
      <x:c r="C29" s="1" t="str">
        <x:v>Cumulative free cash flow</x:v>
      </x:c>
      <x:c r="D29" s="38" t="n">
        <x:f>'Operating model'!D61</x:f>
        <x:v>-383550.494375</x:v>
      </x:c>
      <x:c r="E29" s="38" t="n">
        <x:f>'Operating model'!E61</x:f>
        <x:v>-1053092.665875</x:v>
      </x:c>
      <x:c r="F29" s="38" t="n">
        <x:f>'Operating model'!F61</x:f>
        <x:v>-2138418.4150312496</x:v>
      </x:c>
      <x:c r="G29" s="38" t="n">
        <x:f>'Operating model'!G61</x:f>
        <x:v>-3640163.7512431247</x:v>
      </x:c>
      <x:c r="H29" s="38" t="n">
        <x:f>'Operating model'!H61</x:f>
        <x:v>-5367323.211007624</x:v>
      </x:c>
      <x:c r="I29" s="38" t="n">
        <x:f>'Operating model'!I61</x:f>
        <x:v>-6746200.4669022225</x:v>
      </x:c>
      <x:c r="J29" s="38" t="n">
        <x:f>'Operating model'!J61</x:f>
        <x:v>-7303505.3838242</x:v>
      </x:c>
      <x:c r="K29" s="1"/>
      <x:c r="L29" s="1"/>
      <x:c r="M29" s="1"/>
    </x:row>
    <x:row r="30" ht="22" customHeight="1">
      <x:c r="A30" s="1"/>
      <x:c r="B30" s="1"/>
      <x:c r="C30" s="4" t="str">
        <x:v>Cash after illustrative round 1 only</x:v>
      </x:c>
      <x:c r="D30" s="41" t="n">
        <x:f>'Operating model'!D64</x:f>
        <x:v>1091449.505625</x:v>
      </x:c>
      <x:c r="E30" s="41" t="n">
        <x:f>'Operating model'!E64</x:f>
        <x:v>421907.33412500005</x:v>
      </x:c>
      <x:c r="F30" s="41" t="n">
        <x:f>'Operating model'!F64</x:f>
        <x:v>-663418.4150312499</x:v>
      </x:c>
      <x:c r="G30" s="41" t="n">
        <x:f>'Operating model'!G64</x:f>
        <x:v>-2165163.7512431247</x:v>
      </x:c>
      <x:c r="H30" s="41" t="n">
        <x:f>'Operating model'!H64</x:f>
        <x:v>-3892323.211007624</x:v>
      </x:c>
      <x:c r="I30" s="41" t="n">
        <x:f>'Operating model'!I64</x:f>
        <x:v>-5271200.4669022225</x:v>
      </x:c>
      <x:c r="J30" s="41" t="n">
        <x:f>'Operating model'!J64</x:f>
        <x:v>-5828505.3838242</x:v>
      </x:c>
      <x:c r="K30" s="1"/>
      <x:c r="L30" s="1"/>
      <x:c r="M30" s="1"/>
    </x:row>
    <x:row r="31" ht="22" customHeight="1">
      <x:c r="A31" s="1"/>
      <x:c r="B31" s="1"/>
      <x:c r="C31" s="1"/>
      <x:c r="D31" s="6"/>
      <x:c r="E31" s="6"/>
      <x:c r="F31" s="6"/>
      <x:c r="G31" s="6"/>
      <x:c r="H31" s="6"/>
      <x:c r="I31" s="6"/>
      <x:c r="J31" s="6"/>
      <x:c r="K31" s="1"/>
      <x:c r="L31" s="1"/>
      <x:c r="M31" s="1"/>
    </x:row>
    <x:row r="32" ht="22" customHeight="1">
      <x:c r="A32" s="1"/>
      <x:c r="B32" s="1"/>
      <x:c r="C32" s="1" t="str">
        <x:v>Peak cumulative funding deficit to date</x:v>
      </x:c>
      <x:c r="D32" s="38" t="n">
        <x:f>'Operating model'!D62</x:f>
        <x:v>383550.494375</x:v>
      </x:c>
      <x:c r="E32" s="38" t="n">
        <x:f>'Operating model'!E62</x:f>
        <x:v>1053092.665875</x:v>
      </x:c>
      <x:c r="F32" s="38" t="n">
        <x:f>'Operating model'!F62</x:f>
        <x:v>2138418.4150312496</x:v>
      </x:c>
      <x:c r="G32" s="38" t="n">
        <x:f>'Operating model'!G62</x:f>
        <x:v>3640163.7512431247</x:v>
      </x:c>
      <x:c r="H32" s="38" t="n">
        <x:f>'Operating model'!H62</x:f>
        <x:v>5367323.211007624</x:v>
      </x:c>
      <x:c r="I32" s="38" t="n">
        <x:f>'Operating model'!I62</x:f>
        <x:v>6746200.4669022225</x:v>
      </x:c>
      <x:c r="J32" s="38" t="n">
        <x:f>'Operating model'!J62</x:f>
        <x:v>7303505.3838242</x:v>
      </x:c>
      <x:c r="K32" s="1"/>
      <x:c r="L32" s="1"/>
      <x:c r="M32" s="1"/>
    </x:row>
    <x:row r="33" ht="22" customHeight="1">
      <x:c r="A33" s="1"/>
      <x:c r="B33" s="1"/>
      <x:c r="C33" s="1" t="str">
        <x:v>Six-month fixed-cost buffer</x:v>
      </x:c>
      <x:c r="D33" s="38" t="n">
        <x:f>'Operating model'!D65</x:f>
        <x:v>180000</x:v>
      </x:c>
      <x:c r="E33" s="38" t="n">
        <x:f>'Operating model'!E65</x:f>
        <x:v>312500</x:v>
      </x:c>
      <x:c r="F33" s="38" t="n">
        <x:f>'Operating model'!F65</x:f>
        <x:v>520000</x:v>
      </x:c>
      <x:c r="G33" s="38" t="n">
        <x:f>'Operating model'!G65</x:f>
        <x:v>815000</x:v>
      </x:c>
      <x:c r="H33" s="38" t="n">
        <x:f>'Operating model'!H65</x:f>
        <x:v>1280000</x:v>
      </x:c>
      <x:c r="I33" s="38" t="n">
        <x:f>'Operating model'!I65</x:f>
        <x:v>1925000</x:v>
      </x:c>
      <x:c r="J33" s="38" t="n">
        <x:f>'Operating model'!J65</x:f>
        <x:v>2740000</x:v>
      </x:c>
      <x:c r="K33" s="1"/>
      <x:c r="L33" s="1"/>
      <x:c r="M33" s="1"/>
    </x:row>
    <x:row r="34" ht="22" customHeight="1">
      <x:c r="A34" s="1"/>
      <x:c r="B34" s="1"/>
      <x:c r="C34" s="4" t="str">
        <x:v>Capital requirement incl. buffer</x:v>
      </x:c>
      <x:c r="D34" s="41" t="n">
        <x:f>'Operating model'!D66</x:f>
        <x:v>563550.494375</x:v>
      </x:c>
      <x:c r="E34" s="41" t="n">
        <x:f>'Operating model'!E66</x:f>
        <x:v>1365592.665875</x:v>
      </x:c>
      <x:c r="F34" s="41" t="n">
        <x:f>'Operating model'!F66</x:f>
        <x:v>2658418.4150312496</x:v>
      </x:c>
      <x:c r="G34" s="41" t="n">
        <x:f>'Operating model'!G66</x:f>
        <x:v>4455163.751243125</x:v>
      </x:c>
      <x:c r="H34" s="41" t="n">
        <x:f>'Operating model'!H66</x:f>
        <x:v>6647323.211007624</x:v>
      </x:c>
      <x:c r="I34" s="41" t="n">
        <x:f>'Operating model'!I66</x:f>
        <x:v>8671200.466902222</x:v>
      </x:c>
      <x:c r="J34" s="41" t="n">
        <x:f>'Operating model'!J66</x:f>
        <x:v>10043505.3838242</x:v>
      </x:c>
      <x:c r="K34" s="1"/>
      <x:c r="L34" s="1"/>
      <x:c r="M34" s="1"/>
    </x:row>
    <x:row r="35" ht="22" customHeight="1">
      <x:c r="A35" s="1"/>
      <x:c r="B35" s="1"/>
      <x:c r="C35" s="1"/>
      <x:c r="D35" s="6"/>
      <x:c r="E35" s="6"/>
      <x:c r="F35" s="6"/>
      <x:c r="G35" s="6"/>
      <x:c r="H35" s="6"/>
      <x:c r="I35" s="6"/>
      <x:c r="J35" s="6"/>
      <x:c r="K35" s="1"/>
      <x:c r="L35" s="1"/>
      <x:c r="M35" s="1"/>
    </x:row>
    <x:row r="36" ht="22" customHeight="1">
      <x:c r="A36" s="1"/>
      <x:c r="B36" s="1"/>
      <x:c r="C36" s="1" t="str">
        <x:v>Recurring contribution / paid job</x:v>
      </x:c>
      <x:c r="D36" s="40" t="n">
        <x:f>'Operating model'!D68</x:f>
        <x:v>0.33579078947368446</x:v>
      </x:c>
      <x:c r="E36" s="40" t="n">
        <x:f>'Operating model'!E68</x:f>
        <x:v>0.509366447368421</x:v>
      </x:c>
      <x:c r="F36" s="40" t="n">
        <x:f>'Operating model'!F68</x:f>
        <x:v>0.6685179973238182</x:v>
      </x:c>
      <x:c r="G36" s="40" t="n">
        <x:f>'Operating model'!G68</x:f>
        <x:v>0.824714920235047</x:v>
      </x:c>
      <x:c r="H36" s="40" t="n">
        <x:f>'Operating model'!H68</x:f>
        <x:v>0.9808521454575929</x:v>
      </x:c>
      <x:c r="I36" s="40" t="n">
        <x:f>'Operating model'!I68</x:f>
        <x:v>1.058781818719248</x:v>
      </x:c>
      <x:c r="J36" s="40" t="n">
        <x:f>'Operating model'!J68</x:f>
        <x:v>1.1367172387460078</x:v>
      </x:c>
      <x:c r="K36" s="1"/>
      <x:c r="L36" s="1"/>
      <x:c r="M36" s="1"/>
    </x:row>
    <x:row r="37" ht="22" customHeight="1">
      <x:c r="A37" s="1"/>
      <x:c r="B37" s="1"/>
      <x:c r="C37" s="1"/>
      <x:c r="D37" s="6"/>
      <x:c r="E37" s="6"/>
      <x:c r="F37" s="6"/>
      <x:c r="G37" s="6"/>
      <x:c r="H37" s="6"/>
      <x:c r="I37" s="6"/>
      <x:c r="J37" s="6"/>
      <x:c r="K37" s="1"/>
      <x:c r="L37" s="1"/>
      <x:c r="M37" s="1"/>
    </x:row>
    <x:row r="38" ht="22" customHeight="1">
      <x:c r="A38" s="1"/>
      <x:c r="B38" s="1"/>
      <x:c r="C38" s="1"/>
      <x:c r="D38" s="6"/>
      <x:c r="E38" s="6"/>
      <x:c r="F38" s="6"/>
      <x:c r="G38" s="6"/>
      <x:c r="H38" s="6"/>
      <x:c r="I38" s="6"/>
      <x:c r="J38" s="6"/>
      <x:c r="K38" s="1"/>
      <x:c r="L38" s="1"/>
      <x:c r="M38" s="1"/>
    </x:row>
    <x:row r="39" ht="22" customHeight="1">
      <x:c r="A39" s="1"/>
      <x:c r="B39" s="1"/>
      <x:c r="C39" s="31" t="str">
        <x:v>All years are illustrative forecasts. GMV belongs to providers before marketplace deductions. Revenue includes only the $45 finder fee after waivers and $2.99 per paid completed service.</x:v>
      </x:c>
      <x:c r="D39" s="32"/>
      <x:c r="E39" s="32"/>
      <x:c r="F39" s="32"/>
      <x:c r="G39" s="32"/>
      <x:c r="H39" s="32"/>
      <x:c r="I39" s="32"/>
      <x:c r="J39" s="32"/>
      <x:c r="K39" s="1"/>
      <x:c r="L39" s="1"/>
      <x:c r="M39" s="1"/>
    </x:row>
    <x:row r="40" ht="22" customHeight="1">
      <x:c r="A40" s="1"/>
      <x:c r="B40" s="1"/>
      <x:c r="C40" s="31"/>
      <x:c r="D40" s="32"/>
      <x:c r="E40" s="32"/>
      <x:c r="F40" s="32"/>
      <x:c r="G40" s="32"/>
      <x:c r="H40" s="32"/>
      <x:c r="I40" s="32"/>
      <x:c r="J40" s="32"/>
      <x:c r="K40" s="1"/>
      <x:c r="L40" s="1"/>
      <x:c r="M40" s="1"/>
    </x:row>
    <x:row r="41" ht="22" customHeight="1">
      <x:c r="A41" s="1"/>
      <x:c r="B41" s="1"/>
      <x:c r="C41" s="1"/>
      <x:c r="D41" s="6"/>
      <x:c r="E41" s="6"/>
      <x:c r="F41" s="6"/>
      <x:c r="G41" s="6"/>
      <x:c r="H41" s="6"/>
      <x:c r="I41" s="6"/>
      <x:c r="J41" s="6"/>
      <x:c r="K41" s="1"/>
      <x:c r="L41" s="1"/>
      <x:c r="M41" s="1"/>
    </x:row>
    <x:row r="42" ht="22" customHeight="1">
      <x:c r="A42" s="1"/>
      <x:c r="B42" s="1"/>
      <x:c r="C42" s="31" t="str">
        <x:v>Negative cash means additional financing or a change in spending is required. Capital requirement combines the peak annual deficit to date with six months of that year's fixed costs. It is not a monthly runway model.</x:v>
      </x:c>
      <x:c r="D42" s="32"/>
      <x:c r="E42" s="32"/>
      <x:c r="F42" s="32"/>
      <x:c r="G42" s="32"/>
      <x:c r="H42" s="32"/>
      <x:c r="I42" s="32"/>
      <x:c r="J42" s="32"/>
      <x:c r="K42" s="1"/>
      <x:c r="L42" s="1"/>
      <x:c r="M42" s="1"/>
    </x:row>
    <x:row r="43" ht="22" customHeight="1">
      <x:c r="A43" s="1"/>
      <x:c r="B43" s="1"/>
      <x:c r="C43" s="31"/>
      <x:c r="D43" s="32"/>
      <x:c r="E43" s="32"/>
      <x:c r="F43" s="32"/>
      <x:c r="G43" s="32"/>
      <x:c r="H43" s="32"/>
      <x:c r="I43" s="32"/>
      <x:c r="J43" s="32"/>
      <x:c r="K43" s="1"/>
      <x:c r="L43" s="1"/>
      <x:c r="M43" s="1"/>
    </x:row>
    <x:row r="44" ht="22" customHeight="1">
      <x:c r="A44" s="1"/>
      <x:c r="B44" s="1"/>
      <x:c r="C44" s="1"/>
      <x:c r="D44" s="6"/>
      <x:c r="E44" s="6"/>
      <x:c r="F44" s="6"/>
      <x:c r="G44" s="6"/>
      <x:c r="H44" s="6"/>
      <x:c r="I44" s="6"/>
      <x:c r="J44" s="6"/>
      <x:c r="K44" s="1"/>
      <x:c r="L44" s="1"/>
      <x:c r="M44" s="1"/>
    </x:row>
    <x:row r="45" ht="22" customHeight="1">
      <x:c r="A45" s="1"/>
      <x:c r="B45" s="1"/>
      <x:c r="C45" s="31" t="str">
        <x:v>Forecast starts January 2027 with zero opening balances. Sources, scenario inputs, scope and exclusions are on Assumptions. Select a case there to recalculate this summary.</x:v>
      </x:c>
      <x:c r="D45" s="32"/>
      <x:c r="E45" s="32"/>
      <x:c r="F45" s="32"/>
      <x:c r="G45" s="32"/>
      <x:c r="H45" s="32"/>
      <x:c r="I45" s="32"/>
      <x:c r="J45" s="32"/>
      <x:c r="K45" s="1"/>
      <x:c r="L45" s="1"/>
      <x:c r="M45" s="1"/>
    </x:row>
    <x:row r="46" ht="22" customHeight="1">
      <x:c r="A46" s="1"/>
      <x:c r="B46" s="1"/>
      <x:c r="C46" s="31"/>
      <x:c r="D46" s="32"/>
      <x:c r="E46" s="32"/>
      <x:c r="F46" s="32"/>
      <x:c r="G46" s="32"/>
      <x:c r="H46" s="32"/>
      <x:c r="I46" s="32"/>
      <x:c r="J46" s="32"/>
      <x:c r="K46" s="1"/>
      <x:c r="L46" s="1"/>
      <x:c r="M46" s="1"/>
    </x:row>
    <x:row r="47" ht="22" customHeight="1">
      <x:c r="A47" s="1"/>
      <x:c r="B47" s="1"/>
      <x:c r="C47" s="1"/>
      <x:c r="D47" s="6"/>
      <x:c r="E47" s="6"/>
      <x:c r="F47" s="6"/>
      <x:c r="G47" s="6"/>
      <x:c r="H47" s="6"/>
      <x:c r="I47" s="6"/>
      <x:c r="J47" s="6"/>
      <x:c r="K47" s="1"/>
      <x:c r="L47" s="1"/>
      <x:c r="M47" s="1"/>
    </x:row>
    <x:row r="48" ht="22" customHeight="1">
      <x:c r="A48" s="1"/>
      <x:c r="B48" s="1"/>
      <x:c r="C48" s="1"/>
      <x:c r="D48" s="6"/>
      <x:c r="E48" s="6"/>
      <x:c r="F48" s="6"/>
      <x:c r="G48" s="6"/>
      <x:c r="H48" s="6"/>
      <x:c r="I48" s="6"/>
      <x:c r="J48" s="6"/>
      <x:c r="K48" s="1"/>
      <x:c r="L48" s="1"/>
      <x:c r="M48" s="1"/>
    </x:row>
  </x:sheetData>
  <x:mergeCells>
    <x:mergeCell ref="C39:J40"/>
    <x:mergeCell ref="C42:J43"/>
    <x:mergeCell ref="C45:J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59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78" hidden="0" customWidth="1"/>
  </x:cols>
  <x:sheetData>
    <x:row r="1" ht="22" customHeight="1">
      <x:c r="A1" s="1"/>
      <x:c r="B1" s="1"/>
      <x:c r="C1"/>
      <x:c r="D1"/>
      <x:c r="E1"/>
      <x:c r="F1"/>
      <x:c r="G1"/>
      <x:c r="H1"/>
      <x:c r="I1"/>
      <x:c r="J1"/>
      <x:c r="K1" s="1"/>
      <x:c r="L1" s="1"/>
      <x:c r="M1" s="1"/>
    </x:row>
    <x:row r="2" ht="22" customHeight="1">
      <x:c r="A2" s="1"/>
      <x:c r="B2" s="1"/>
      <x:c r="C2" s="48" t="str">
        <x:v>YardMatch - Forecast assumptions</x:v>
      </x:c>
      <x:c r="D2"/>
      <x:c r="E2"/>
      <x:c r="F2"/>
      <x:c r="G2"/>
      <x:c r="H2"/>
      <x:c r="I2"/>
      <x:c r="J2"/>
      <x:c r="K2" s="1"/>
      <x:c r="L2" s="1"/>
      <x:c r="M2" s="1"/>
    </x:row>
    <x:row r="3" ht="22" customHeight="1">
      <x:c r="A3" s="1"/>
      <x:c r="B3" s="1"/>
      <x:c r="C3" s="1" t="str">
        <x:v>Case selector</x:v>
      </x:c>
      <x:c r="D3" s="8" t="str">
        <x:v>Base</x:v>
      </x:c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"/>
      <x:c r="B5" s="1"/>
      <x:c r="C5" s="49"/>
      <x:c r="D5" s="49" t="n">
        <x:v>2027</x:v>
      </x:c>
      <x:c r="E5" s="49" t="n">
        <x:v>2028</x:v>
      </x:c>
      <x:c r="F5" s="49" t="n">
        <x:v>2029</x:v>
      </x:c>
      <x:c r="G5" s="49" t="n">
        <x:v>2030</x:v>
      </x:c>
      <x:c r="H5" s="49" t="n">
        <x:v>2031</x:v>
      </x:c>
      <x:c r="I5" s="49" t="n">
        <x:v>2032</x:v>
      </x:c>
      <x:c r="J5" s="49" t="n">
        <x:v>2033</x:v>
      </x:c>
      <x:c r="K5" s="1"/>
      <x:c r="L5" s="9" t="str">
        <x:v>Basis / source. All operating drivers are assumptions, not actuals.</x:v>
      </x:c>
      <x:c r="M5" s="1"/>
    </x:row>
    <x:row r="6" ht="22" customHeight="1">
      <x:c r="A6" s="1"/>
      <x:c r="B6" s="1"/>
      <x:c r="C6" s="1"/>
      <x:c r="D6" s="6"/>
      <x:c r="E6" s="6"/>
      <x:c r="F6" s="6"/>
      <x:c r="G6" s="6"/>
      <x:c r="H6" s="6"/>
      <x:c r="I6" s="6"/>
      <x:c r="J6" s="6"/>
      <x:c r="K6" s="1"/>
      <x:c r="L6" s="9"/>
      <x:c r="M6" s="1"/>
    </x:row>
    <x:row r="7" ht="22" customHeight="1">
      <x:c r="A7" s="1"/>
      <x:c r="B7" s="1"/>
      <x:c r="C7" s="4" t="str">
        <x:v>New paying households / active</x:v>
      </x:c>
      <x:c r="D7" s="12" t="n">
        <x:f>IF($D$3="Base",D8,IF($D$3="Downside",D9,D10))</x:f>
        <x:v>500</x:v>
      </x:c>
      <x:c r="E7" s="12" t="n">
        <x:f>IF($D$3="Base",E8,IF($D$3="Downside",E9,E10))</x:f>
        <x:v>2500</x:v>
      </x:c>
      <x:c r="F7" s="12" t="n">
        <x:f>IF($D$3="Base",F8,IF($D$3="Downside",F9,F10))</x:f>
        <x:v>9000</x:v>
      </x:c>
      <x:c r="G7" s="12" t="n">
        <x:f>IF($D$3="Base",G8,IF($D$3="Downside",G9,G10))</x:f>
        <x:v>25000</x:v>
      </x:c>
      <x:c r="H7" s="12" t="n">
        <x:f>IF($D$3="Base",H8,IF($D$3="Downside",H9,H10))</x:f>
        <x:v>55000</x:v>
      </x:c>
      <x:c r="I7" s="12" t="n">
        <x:f>IF($D$3="Base",I8,IF($D$3="Downside",I9,I10))</x:f>
        <x:v>100000</x:v>
      </x:c>
      <x:c r="J7" s="12" t="n">
        <x:f>IF($D$3="Base",J8,IF($D$3="Downside",J9,J10))</x:f>
        <x:v>160000</x:v>
      </x:c>
      <x:c r="K7" s="1"/>
      <x:c r="L7" s="9" t="str">
        <x:v>Planning assumption, September 20, 2026. No operating actuals supplied.</x:v>
      </x:c>
      <x:c r="M7" s="1"/>
    </x:row>
    <x:row r="8" ht="22" customHeight="1">
      <x:c r="A8" s="1"/>
      <x:c r="B8" s="1"/>
      <x:c r="C8" s="1" t="str">
        <x:v>Base</x:v>
      </x:c>
      <x:c r="D8" s="11" t="n">
        <x:v>500</x:v>
      </x:c>
      <x:c r="E8" s="11" t="n">
        <x:v>2500</x:v>
      </x:c>
      <x:c r="F8" s="11" t="n">
        <x:v>9000</x:v>
      </x:c>
      <x:c r="G8" s="11" t="n">
        <x:v>25000</x:v>
      </x:c>
      <x:c r="H8" s="11" t="n">
        <x:v>55000</x:v>
      </x:c>
      <x:c r="I8" s="11" t="n">
        <x:v>100000</x:v>
      </x:c>
      <x:c r="J8" s="11" t="n">
        <x:v>160000</x:v>
      </x:c>
      <x:c r="K8" s="1"/>
      <x:c r="L8" s="9"/>
      <x:c r="M8" s="1"/>
    </x:row>
    <x:row r="9" ht="22" customHeight="1">
      <x:c r="A9" s="1"/>
      <x:c r="B9" s="1"/>
      <x:c r="C9" s="1" t="str">
        <x:v>Downside</x:v>
      </x:c>
      <x:c r="D9" s="11" t="n">
        <x:v>300</x:v>
      </x:c>
      <x:c r="E9" s="11" t="n">
        <x:v>1200</x:v>
      </x:c>
      <x:c r="F9" s="11" t="n">
        <x:v>3500</x:v>
      </x:c>
      <x:c r="G9" s="11" t="n">
        <x:v>8000</x:v>
      </x:c>
      <x:c r="H9" s="11" t="n">
        <x:v>15000</x:v>
      </x:c>
      <x:c r="I9" s="11" t="n">
        <x:v>25000</x:v>
      </x:c>
      <x:c r="J9" s="11" t="n">
        <x:v>40000</x:v>
      </x:c>
      <x:c r="K9" s="1"/>
      <x:c r="L9" s="9"/>
      <x:c r="M9" s="1"/>
    </x:row>
    <x:row r="10" ht="22" customHeight="1">
      <x:c r="A10" s="1"/>
      <x:c r="B10" s="1"/>
      <x:c r="C10" s="1" t="str">
        <x:v>Upside</x:v>
      </x:c>
      <x:c r="D10" s="11" t="n">
        <x:v>500</x:v>
      </x:c>
      <x:c r="E10" s="11" t="n">
        <x:v>3000</x:v>
      </x:c>
      <x:c r="F10" s="11" t="n">
        <x:v>12000</x:v>
      </x:c>
      <x:c r="G10" s="11" t="n">
        <x:v>35000</x:v>
      </x:c>
      <x:c r="H10" s="11" t="n">
        <x:v>85000</x:v>
      </x:c>
      <x:c r="I10" s="11" t="n">
        <x:v>170000</x:v>
      </x:c>
      <x:c r="J10" s="11" t="n">
        <x:v>280000</x:v>
      </x:c>
      <x:c r="K10" s="1"/>
      <x:c r="L10" s="9"/>
      <x:c r="M10" s="1"/>
    </x:row>
    <x:row r="11" ht="22" customHeight="1">
      <x:c r="A11" s="1"/>
      <x:c r="B11" s="1"/>
      <x:c r="C11" s="1"/>
      <x:c r="D11" s="6"/>
      <x:c r="E11" s="6"/>
      <x:c r="F11" s="6"/>
      <x:c r="G11" s="6"/>
      <x:c r="H11" s="6"/>
      <x:c r="I11" s="6"/>
      <x:c r="J11" s="6"/>
      <x:c r="K11" s="1"/>
      <x:c r="L11" s="9"/>
      <x:c r="M11" s="1"/>
    </x:row>
    <x:row r="12" ht="22" customHeight="1">
      <x:c r="A12" s="1"/>
      <x:c r="B12" s="1"/>
      <x:c r="C12" s="4" t="str">
        <x:v>Annual household retention / active</x:v>
      </x:c>
      <x:c r="D12" s="15" t="n">
        <x:f>IF($D$3="Base",D13,IF($D$3="Downside",D14,D15))</x:f>
        <x:v>0.7</x:v>
      </x:c>
      <x:c r="E12" s="15" t="n">
        <x:f>IF($D$3="Base",E13,IF($D$3="Downside",E14,E15))</x:f>
        <x:v>0.7</x:v>
      </x:c>
      <x:c r="F12" s="15" t="n">
        <x:f>IF($D$3="Base",F13,IF($D$3="Downside",F14,F15))</x:f>
        <x:v>0.75</x:v>
      </x:c>
      <x:c r="G12" s="15" t="n">
        <x:f>IF($D$3="Base",G13,IF($D$3="Downside",G14,G15))</x:f>
        <x:v>0.78</x:v>
      </x:c>
      <x:c r="H12" s="15" t="n">
        <x:f>IF($D$3="Base",H13,IF($D$3="Downside",H14,H15))</x:f>
        <x:v>0.8</x:v>
      </x:c>
      <x:c r="I12" s="15" t="n">
        <x:f>IF($D$3="Base",I13,IF($D$3="Downside",I14,I15))</x:f>
        <x:v>0.8</x:v>
      </x:c>
      <x:c r="J12" s="15" t="n">
        <x:f>IF($D$3="Base",J13,IF($D$3="Downside",J14,J15))</x:f>
        <x:v>0.8</x:v>
      </x:c>
      <x:c r="K12" s="1"/>
      <x:c r="L12" s="9" t="str">
        <x:v>Planning assumption, September 20, 2026. No operating actuals supplied.</x:v>
      </x:c>
      <x:c r="M12" s="1"/>
    </x:row>
    <x:row r="13" ht="22" customHeight="1">
      <x:c r="A13" s="1"/>
      <x:c r="B13" s="1"/>
      <x:c r="C13" s="1" t="str">
        <x:v>Base</x:v>
      </x:c>
      <x:c r="D13" s="14" t="n">
        <x:v>0.7</x:v>
      </x:c>
      <x:c r="E13" s="14" t="n">
        <x:v>0.7</x:v>
      </x:c>
      <x:c r="F13" s="14" t="n">
        <x:v>0.75</x:v>
      </x:c>
      <x:c r="G13" s="14" t="n">
        <x:v>0.78</x:v>
      </x:c>
      <x:c r="H13" s="14" t="n">
        <x:v>0.8</x:v>
      </x:c>
      <x:c r="I13" s="14" t="n">
        <x:v>0.8</x:v>
      </x:c>
      <x:c r="J13" s="14" t="n">
        <x:v>0.8</x:v>
      </x:c>
      <x:c r="K13" s="1"/>
      <x:c r="L13" s="9"/>
      <x:c r="M13" s="1"/>
    </x:row>
    <x:row r="14" ht="22" customHeight="1">
      <x:c r="A14" s="1"/>
      <x:c r="B14" s="1"/>
      <x:c r="C14" s="1" t="str">
        <x:v>Downside</x:v>
      </x:c>
      <x:c r="D14" s="14" t="n">
        <x:v>0.55</x:v>
      </x:c>
      <x:c r="E14" s="14" t="n">
        <x:v>0.55</x:v>
      </x:c>
      <x:c r="F14" s="14" t="n">
        <x:v>0.6</x:v>
      </x:c>
      <x:c r="G14" s="14" t="n">
        <x:v>0.6</x:v>
      </x:c>
      <x:c r="H14" s="14" t="n">
        <x:v>0.65</x:v>
      </x:c>
      <x:c r="I14" s="14" t="n">
        <x:v>0.65</x:v>
      </x:c>
      <x:c r="J14" s="14" t="n">
        <x:v>0.65</x:v>
      </x:c>
      <x:c r="K14" s="1"/>
      <x:c r="L14" s="9"/>
      <x:c r="M14" s="1"/>
    </x:row>
    <x:row r="15" ht="22" customHeight="1">
      <x:c r="A15" s="1"/>
      <x:c r="B15" s="1"/>
      <x:c r="C15" s="1" t="str">
        <x:v>Upside</x:v>
      </x:c>
      <x:c r="D15" s="14" t="n">
        <x:v>0.8</x:v>
      </x:c>
      <x:c r="E15" s="14" t="n">
        <x:v>0.8</x:v>
      </x:c>
      <x:c r="F15" s="14" t="n">
        <x:v>0.82</x:v>
      </x:c>
      <x:c r="G15" s="14" t="n">
        <x:v>0.85</x:v>
      </x:c>
      <x:c r="H15" s="14" t="n">
        <x:v>0.85</x:v>
      </x:c>
      <x:c r="I15" s="14" t="n">
        <x:v>0.85</x:v>
      </x:c>
      <x:c r="J15" s="14" t="n">
        <x:v>0.85</x:v>
      </x:c>
      <x:c r="K15" s="1"/>
      <x:c r="L15" s="9"/>
      <x:c r="M15" s="1"/>
    </x:row>
    <x:row r="16" ht="22" customHeight="1">
      <x:c r="A16" s="1"/>
      <x:c r="B16" s="1"/>
      <x:c r="C16" s="1"/>
      <x:c r="D16" s="6"/>
      <x:c r="E16" s="6"/>
      <x:c r="F16" s="6"/>
      <x:c r="G16" s="6"/>
      <x:c r="H16" s="6"/>
      <x:c r="I16" s="6"/>
      <x:c r="J16" s="6"/>
      <x:c r="K16" s="1"/>
      <x:c r="L16" s="9"/>
      <x:c r="M16" s="1"/>
    </x:row>
    <x:row r="17" ht="22" customHeight="1">
      <x:c r="A17" s="1"/>
      <x:c r="B17" s="1"/>
      <x:c r="C17" s="4" t="str">
        <x:v>Scheduled visits / full season / active</x:v>
      </x:c>
      <x:c r="D17" s="18" t="n">
        <x:f>IF($D$3="Base",D18,IF($D$3="Downside",D19,D20))</x:f>
        <x:v>20</x:v>
      </x:c>
      <x:c r="E17" s="18" t="n">
        <x:f>IF($D$3="Base",E18,IF($D$3="Downside",E19,E20))</x:f>
        <x:v>20</x:v>
      </x:c>
      <x:c r="F17" s="18" t="n">
        <x:f>IF($D$3="Base",F18,IF($D$3="Downside",F19,F20))</x:f>
        <x:v>20</x:v>
      </x:c>
      <x:c r="G17" s="18" t="n">
        <x:f>IF($D$3="Base",G18,IF($D$3="Downside",G19,G20))</x:f>
        <x:v>20</x:v>
      </x:c>
      <x:c r="H17" s="18" t="n">
        <x:f>IF($D$3="Base",H18,IF($D$3="Downside",H19,H20))</x:f>
        <x:v>20</x:v>
      </x:c>
      <x:c r="I17" s="18" t="n">
        <x:f>IF($D$3="Base",I18,IF($D$3="Downside",I19,I20))</x:f>
        <x:v>20</x:v>
      </x:c>
      <x:c r="J17" s="18" t="n">
        <x:f>IF($D$3="Base",J18,IF($D$3="Downside",J19,J20))</x:f>
        <x:v>20</x:v>
      </x:c>
      <x:c r="K17" s="1"/>
      <x:c r="L17" s="9" t="str">
        <x:v>Planning assumption, September 20, 2026. No operating actuals supplied.</x:v>
      </x:c>
      <x:c r="M17" s="1"/>
    </x:row>
    <x:row r="18" ht="22" customHeight="1">
      <x:c r="A18" s="1"/>
      <x:c r="B18" s="1"/>
      <x:c r="C18" s="1" t="str">
        <x:v>Base</x:v>
      </x:c>
      <x:c r="D18" s="17" t="n">
        <x:v>20</x:v>
      </x:c>
      <x:c r="E18" s="17" t="n">
        <x:v>20</x:v>
      </x:c>
      <x:c r="F18" s="17" t="n">
        <x:v>20</x:v>
      </x:c>
      <x:c r="G18" s="17" t="n">
        <x:v>20</x:v>
      </x:c>
      <x:c r="H18" s="17" t="n">
        <x:v>20</x:v>
      </x:c>
      <x:c r="I18" s="17" t="n">
        <x:v>20</x:v>
      </x:c>
      <x:c r="J18" s="17" t="n">
        <x:v>20</x:v>
      </x:c>
      <x:c r="K18" s="1"/>
      <x:c r="L18" s="9"/>
      <x:c r="M18" s="1"/>
    </x:row>
    <x:row r="19" ht="22" customHeight="1">
      <x:c r="A19" s="1"/>
      <x:c r="B19" s="1"/>
      <x:c r="C19" s="1" t="str">
        <x:v>Downside</x:v>
      </x:c>
      <x:c r="D19" s="17" t="n">
        <x:v>16</x:v>
      </x:c>
      <x:c r="E19" s="17" t="n">
        <x:v>16</x:v>
      </x:c>
      <x:c r="F19" s="17" t="n">
        <x:v>16</x:v>
      </x:c>
      <x:c r="G19" s="17" t="n">
        <x:v>16</x:v>
      </x:c>
      <x:c r="H19" s="17" t="n">
        <x:v>16</x:v>
      </x:c>
      <x:c r="I19" s="17" t="n">
        <x:v>16</x:v>
      </x:c>
      <x:c r="J19" s="17" t="n">
        <x:v>16</x:v>
      </x:c>
      <x:c r="K19" s="1"/>
      <x:c r="L19" s="9"/>
      <x:c r="M19" s="1"/>
    </x:row>
    <x:row r="20" ht="22" customHeight="1">
      <x:c r="A20" s="1"/>
      <x:c r="B20" s="1"/>
      <x:c r="C20" s="1" t="str">
        <x:v>Upside</x:v>
      </x:c>
      <x:c r="D20" s="17" t="n">
        <x:v>24</x:v>
      </x:c>
      <x:c r="E20" s="17" t="n">
        <x:v>24</x:v>
      </x:c>
      <x:c r="F20" s="17" t="n">
        <x:v>24</x:v>
      </x:c>
      <x:c r="G20" s="17" t="n">
        <x:v>24</x:v>
      </x:c>
      <x:c r="H20" s="17" t="n">
        <x:v>24</x:v>
      </x:c>
      <x:c r="I20" s="17" t="n">
        <x:v>24</x:v>
      </x:c>
      <x:c r="J20" s="17" t="n">
        <x:v>24</x:v>
      </x:c>
      <x:c r="K20" s="1"/>
      <x:c r="L20" s="9"/>
      <x:c r="M20" s="1"/>
    </x:row>
    <x:row r="21" ht="22" customHeight="1">
      <x:c r="A21" s="1"/>
      <x:c r="B21" s="1"/>
      <x:c r="C21" s="1"/>
      <x:c r="D21" s="6"/>
      <x:c r="E21" s="6"/>
      <x:c r="F21" s="6"/>
      <x:c r="G21" s="6"/>
      <x:c r="H21" s="6"/>
      <x:c r="I21" s="6"/>
      <x:c r="J21" s="6"/>
      <x:c r="K21" s="1"/>
      <x:c r="L21" s="9"/>
      <x:c r="M21" s="1"/>
    </x:row>
    <x:row r="22" ht="22" customHeight="1">
      <x:c r="A22" s="1"/>
      <x:c r="B22" s="1"/>
      <x:c r="C22" s="4" t="str">
        <x:v>Share of visits kept on platform / active</x:v>
      </x:c>
      <x:c r="D22" s="15" t="n">
        <x:f>IF($D$3="Base",D23,IF($D$3="Downside",D24,D25))</x:f>
        <x:v>0.9</x:v>
      </x:c>
      <x:c r="E22" s="15" t="n">
        <x:f>IF($D$3="Base",E23,IF($D$3="Downside",E24,E25))</x:f>
        <x:v>0.9</x:v>
      </x:c>
      <x:c r="F22" s="15" t="n">
        <x:f>IF($D$3="Base",F23,IF($D$3="Downside",F24,F25))</x:f>
        <x:v>0.9</x:v>
      </x:c>
      <x:c r="G22" s="15" t="n">
        <x:f>IF($D$3="Base",G23,IF($D$3="Downside",G24,G25))</x:f>
        <x:v>0.9</x:v>
      </x:c>
      <x:c r="H22" s="15" t="n">
        <x:f>IF($D$3="Base",H23,IF($D$3="Downside",H24,H25))</x:f>
        <x:v>0.9</x:v>
      </x:c>
      <x:c r="I22" s="15" t="n">
        <x:f>IF($D$3="Base",I23,IF($D$3="Downside",I24,I25))</x:f>
        <x:v>0.9</x:v>
      </x:c>
      <x:c r="J22" s="15" t="n">
        <x:f>IF($D$3="Base",J23,IF($D$3="Downside",J24,J25))</x:f>
        <x:v>0.9</x:v>
      </x:c>
      <x:c r="K22" s="1"/>
      <x:c r="L22" s="9" t="str">
        <x:v>Planning assumption, September 20, 2026. No operating actuals supplied.</x:v>
      </x:c>
      <x:c r="M22" s="1"/>
    </x:row>
    <x:row r="23" ht="22" customHeight="1">
      <x:c r="A23" s="1"/>
      <x:c r="B23" s="1"/>
      <x:c r="C23" s="1" t="str">
        <x:v>Base</x:v>
      </x:c>
      <x:c r="D23" s="14" t="n">
        <x:v>0.9</x:v>
      </x:c>
      <x:c r="E23" s="14" t="n">
        <x:v>0.9</x:v>
      </x:c>
      <x:c r="F23" s="14" t="n">
        <x:v>0.9</x:v>
      </x:c>
      <x:c r="G23" s="14" t="n">
        <x:v>0.9</x:v>
      </x:c>
      <x:c r="H23" s="14" t="n">
        <x:v>0.9</x:v>
      </x:c>
      <x:c r="I23" s="14" t="n">
        <x:v>0.9</x:v>
      </x:c>
      <x:c r="J23" s="14" t="n">
        <x:v>0.9</x:v>
      </x:c>
      <x:c r="K23" s="1"/>
      <x:c r="L23" s="9"/>
      <x:c r="M23" s="1"/>
    </x:row>
    <x:row r="24" ht="22" customHeight="1">
      <x:c r="A24" s="1"/>
      <x:c r="B24" s="1"/>
      <x:c r="C24" s="1" t="str">
        <x:v>Downside</x:v>
      </x:c>
      <x:c r="D24" s="14" t="n">
        <x:v>0.8</x:v>
      </x:c>
      <x:c r="E24" s="14" t="n">
        <x:v>0.8</x:v>
      </x:c>
      <x:c r="F24" s="14" t="n">
        <x:v>0.8</x:v>
      </x:c>
      <x:c r="G24" s="14" t="n">
        <x:v>0.8</x:v>
      </x:c>
      <x:c r="H24" s="14" t="n">
        <x:v>0.8</x:v>
      </x:c>
      <x:c r="I24" s="14" t="n">
        <x:v>0.8</x:v>
      </x:c>
      <x:c r="J24" s="14" t="n">
        <x:v>0.8</x:v>
      </x:c>
      <x:c r="K24" s="1"/>
      <x:c r="L24" s="9"/>
      <x:c r="M24" s="1"/>
    </x:row>
    <x:row r="25" ht="22" customHeight="1">
      <x:c r="A25" s="1"/>
      <x:c r="B25" s="1"/>
      <x:c r="C25" s="1" t="str">
        <x:v>Upside</x:v>
      </x:c>
      <x:c r="D25" s="14" t="n">
        <x:v>0.95</x:v>
      </x:c>
      <x:c r="E25" s="14" t="n">
        <x:v>0.95</x:v>
      </x:c>
      <x:c r="F25" s="14" t="n">
        <x:v>0.95</x:v>
      </x:c>
      <x:c r="G25" s="14" t="n">
        <x:v>0.95</x:v>
      </x:c>
      <x:c r="H25" s="14" t="n">
        <x:v>0.95</x:v>
      </x:c>
      <x:c r="I25" s="14" t="n">
        <x:v>0.95</x:v>
      </x:c>
      <x:c r="J25" s="14" t="n">
        <x:v>0.95</x:v>
      </x:c>
      <x:c r="K25" s="1"/>
      <x:c r="L25" s="9"/>
      <x:c r="M25" s="1"/>
    </x:row>
    <x:row r="26" ht="22" customHeight="1">
      <x:c r="A26" s="1"/>
      <x:c r="B26" s="1"/>
      <x:c r="C26" s="1"/>
      <x:c r="D26" s="6"/>
      <x:c r="E26" s="6"/>
      <x:c r="F26" s="6"/>
      <x:c r="G26" s="6"/>
      <x:c r="H26" s="6"/>
      <x:c r="I26" s="6"/>
      <x:c r="J26" s="6"/>
      <x:c r="K26" s="1"/>
      <x:c r="L26" s="9"/>
      <x:c r="M26" s="1"/>
    </x:row>
    <x:row r="27" ht="22" customHeight="1">
      <x:c r="A27" s="1"/>
      <x:c r="B27" s="1"/>
      <x:c r="C27" s="4" t="str">
        <x:v>Completion and successful collection / active</x:v>
      </x:c>
      <x:c r="D27" s="15" t="n">
        <x:f>IF($D$3="Base",D28,IF($D$3="Downside",D29,D30))</x:f>
        <x:v>0.95</x:v>
      </x:c>
      <x:c r="E27" s="15" t="n">
        <x:f>IF($D$3="Base",E28,IF($D$3="Downside",E29,E30))</x:f>
        <x:v>0.95</x:v>
      </x:c>
      <x:c r="F27" s="15" t="n">
        <x:f>IF($D$3="Base",F28,IF($D$3="Downside",F29,F30))</x:f>
        <x:v>0.95</x:v>
      </x:c>
      <x:c r="G27" s="15" t="n">
        <x:f>IF($D$3="Base",G28,IF($D$3="Downside",G29,G30))</x:f>
        <x:v>0.95</x:v>
      </x:c>
      <x:c r="H27" s="15" t="n">
        <x:f>IF($D$3="Base",H28,IF($D$3="Downside",H29,H30))</x:f>
        <x:v>0.95</x:v>
      </x:c>
      <x:c r="I27" s="15" t="n">
        <x:f>IF($D$3="Base",I28,IF($D$3="Downside",I29,I30))</x:f>
        <x:v>0.95</x:v>
      </x:c>
      <x:c r="J27" s="15" t="n">
        <x:f>IF($D$3="Base",J28,IF($D$3="Downside",J29,J30))</x:f>
        <x:v>0.95</x:v>
      </x:c>
      <x:c r="K27" s="1"/>
      <x:c r="L27" s="9" t="str">
        <x:v>Planning assumption, September 20, 2026. No operating actuals supplied.</x:v>
      </x:c>
      <x:c r="M27" s="1"/>
    </x:row>
    <x:row r="28" ht="22" customHeight="1">
      <x:c r="A28" s="1"/>
      <x:c r="B28" s="1"/>
      <x:c r="C28" s="1" t="str">
        <x:v>Base</x:v>
      </x:c>
      <x:c r="D28" s="14" t="n">
        <x:v>0.95</x:v>
      </x:c>
      <x:c r="E28" s="14" t="n">
        <x:v>0.95</x:v>
      </x:c>
      <x:c r="F28" s="14" t="n">
        <x:v>0.95</x:v>
      </x:c>
      <x:c r="G28" s="14" t="n">
        <x:v>0.95</x:v>
      </x:c>
      <x:c r="H28" s="14" t="n">
        <x:v>0.95</x:v>
      </x:c>
      <x:c r="I28" s="14" t="n">
        <x:v>0.95</x:v>
      </x:c>
      <x:c r="J28" s="14" t="n">
        <x:v>0.95</x:v>
      </x:c>
      <x:c r="K28" s="1"/>
      <x:c r="L28" s="9"/>
      <x:c r="M28" s="1"/>
    </x:row>
    <x:row r="29" ht="22" customHeight="1">
      <x:c r="A29" s="1"/>
      <x:c r="B29" s="1"/>
      <x:c r="C29" s="1" t="str">
        <x:v>Downside</x:v>
      </x:c>
      <x:c r="D29" s="14" t="n">
        <x:v>0.9</x:v>
      </x:c>
      <x:c r="E29" s="14" t="n">
        <x:v>0.9</x:v>
      </x:c>
      <x:c r="F29" s="14" t="n">
        <x:v>0.9</x:v>
      </x:c>
      <x:c r="G29" s="14" t="n">
        <x:v>0.9</x:v>
      </x:c>
      <x:c r="H29" s="14" t="n">
        <x:v>0.9</x:v>
      </x:c>
      <x:c r="I29" s="14" t="n">
        <x:v>0.9</x:v>
      </x:c>
      <x:c r="J29" s="14" t="n">
        <x:v>0.9</x:v>
      </x:c>
      <x:c r="K29" s="1"/>
      <x:c r="L29" s="9"/>
      <x:c r="M29" s="1"/>
    </x:row>
    <x:row r="30" ht="22" customHeight="1">
      <x:c r="A30" s="1"/>
      <x:c r="B30" s="1"/>
      <x:c r="C30" s="1" t="str">
        <x:v>Upside</x:v>
      </x:c>
      <x:c r="D30" s="14" t="n">
        <x:v>0.97</x:v>
      </x:c>
      <x:c r="E30" s="14" t="n">
        <x:v>0.97</x:v>
      </x:c>
      <x:c r="F30" s="14" t="n">
        <x:v>0.97</x:v>
      </x:c>
      <x:c r="G30" s="14" t="n">
        <x:v>0.97</x:v>
      </x:c>
      <x:c r="H30" s="14" t="n">
        <x:v>0.97</x:v>
      </x:c>
      <x:c r="I30" s="14" t="n">
        <x:v>0.97</x:v>
      </x:c>
      <x:c r="J30" s="14" t="n">
        <x:v>0.97</x:v>
      </x:c>
      <x:c r="K30" s="1"/>
      <x:c r="L30" s="9"/>
      <x:c r="M30" s="1"/>
    </x:row>
    <x:row r="31" ht="22" customHeight="1">
      <x:c r="A31" s="1"/>
      <x:c r="B31" s="1"/>
      <x:c r="C31" s="1"/>
      <x:c r="D31" s="6"/>
      <x:c r="E31" s="6"/>
      <x:c r="F31" s="6"/>
      <x:c r="G31" s="6"/>
      <x:c r="H31" s="6"/>
      <x:c r="I31" s="6"/>
      <x:c r="J31" s="6"/>
      <x:c r="K31" s="1"/>
      <x:c r="L31" s="9"/>
      <x:c r="M31" s="1"/>
    </x:row>
    <x:row r="32" ht="22" customHeight="1">
      <x:c r="A32" s="1"/>
      <x:c r="B32" s="1"/>
      <x:c r="C32" s="4" t="str">
        <x:v>Average service price / active</x:v>
      </x:c>
      <x:c r="D32" s="21" t="n">
        <x:f>IF($D$3="Base",D33,IF($D$3="Downside",D34,D35))</x:f>
        <x:v>60</x:v>
      </x:c>
      <x:c r="E32" s="21" t="n">
        <x:f>IF($D$3="Base",E33,IF($D$3="Downside",E34,E35))</x:f>
        <x:v>60</x:v>
      </x:c>
      <x:c r="F32" s="21" t="n">
        <x:f>IF($D$3="Base",F33,IF($D$3="Downside",F34,F35))</x:f>
        <x:v>60</x:v>
      </x:c>
      <x:c r="G32" s="21" t="n">
        <x:f>IF($D$3="Base",G33,IF($D$3="Downside",G34,G35))</x:f>
        <x:v>60</x:v>
      </x:c>
      <x:c r="H32" s="21" t="n">
        <x:f>IF($D$3="Base",H33,IF($D$3="Downside",H34,H35))</x:f>
        <x:v>60</x:v>
      </x:c>
      <x:c r="I32" s="21" t="n">
        <x:f>IF($D$3="Base",I33,IF($D$3="Downside",I34,I35))</x:f>
        <x:v>60</x:v>
      </x:c>
      <x:c r="J32" s="21" t="n">
        <x:f>IF($D$3="Base",J33,IF($D$3="Downside",J34,J35))</x:f>
        <x:v>60</x:v>
      </x:c>
      <x:c r="K32" s="1"/>
      <x:c r="L32" s="9" t="str">
        <x:v>$60 reference ticket from partner pitch page 8. $75 downside stresses larger jobs and processing. No tax or tips assumed.</x:v>
      </x:c>
      <x:c r="M32" s="1"/>
    </x:row>
    <x:row r="33" ht="22" customHeight="1">
      <x:c r="A33" s="1"/>
      <x:c r="B33" s="1"/>
      <x:c r="C33" s="1" t="str">
        <x:v>Base</x:v>
      </x:c>
      <x:c r="D33" s="20" t="n">
        <x:v>60</x:v>
      </x:c>
      <x:c r="E33" s="20" t="n">
        <x:v>60</x:v>
      </x:c>
      <x:c r="F33" s="20" t="n">
        <x:v>60</x:v>
      </x:c>
      <x:c r="G33" s="20" t="n">
        <x:v>60</x:v>
      </x:c>
      <x:c r="H33" s="20" t="n">
        <x:v>60</x:v>
      </x:c>
      <x:c r="I33" s="20" t="n">
        <x:v>60</x:v>
      </x:c>
      <x:c r="J33" s="20" t="n">
        <x:v>60</x:v>
      </x:c>
      <x:c r="K33" s="1"/>
      <x:c r="L33" s="9"/>
      <x:c r="M33" s="1"/>
    </x:row>
    <x:row r="34" ht="22" customHeight="1">
      <x:c r="A34" s="1"/>
      <x:c r="B34" s="1"/>
      <x:c r="C34" s="1" t="str">
        <x:v>Downside</x:v>
      </x:c>
      <x:c r="D34" s="20" t="n">
        <x:v>75</x:v>
      </x:c>
      <x:c r="E34" s="20" t="n">
        <x:v>75</x:v>
      </x:c>
      <x:c r="F34" s="20" t="n">
        <x:v>75</x:v>
      </x:c>
      <x:c r="G34" s="20" t="n">
        <x:v>75</x:v>
      </x:c>
      <x:c r="H34" s="20" t="n">
        <x:v>75</x:v>
      </x:c>
      <x:c r="I34" s="20" t="n">
        <x:v>75</x:v>
      </x:c>
      <x:c r="J34" s="20" t="n">
        <x:v>75</x:v>
      </x:c>
      <x:c r="K34" s="1"/>
      <x:c r="L34" s="9"/>
      <x:c r="M34" s="1"/>
    </x:row>
    <x:row r="35" ht="22" customHeight="1">
      <x:c r="A35" s="1"/>
      <x:c r="B35" s="1"/>
      <x:c r="C35" s="1" t="str">
        <x:v>Upside</x:v>
      </x:c>
      <x:c r="D35" s="20" t="n">
        <x:v>60</x:v>
      </x:c>
      <x:c r="E35" s="20" t="n">
        <x:v>60</x:v>
      </x:c>
      <x:c r="F35" s="20" t="n">
        <x:v>60</x:v>
      </x:c>
      <x:c r="G35" s="20" t="n">
        <x:v>60</x:v>
      </x:c>
      <x:c r="H35" s="20" t="n">
        <x:v>60</x:v>
      </x:c>
      <x:c r="I35" s="20" t="n">
        <x:v>60</x:v>
      </x:c>
      <x:c r="J35" s="20" t="n">
        <x:v>60</x:v>
      </x:c>
      <x:c r="K35" s="1"/>
      <x:c r="L35" s="9"/>
      <x:c r="M35" s="1"/>
    </x:row>
    <x:row r="36" ht="22" customHeight="1">
      <x:c r="A36" s="1"/>
      <x:c r="B36" s="1"/>
      <x:c r="C36" s="1"/>
      <x:c r="D36" s="6"/>
      <x:c r="E36" s="6"/>
      <x:c r="F36" s="6"/>
      <x:c r="G36" s="6"/>
      <x:c r="H36" s="6"/>
      <x:c r="I36" s="6"/>
      <x:c r="J36" s="6"/>
      <x:c r="K36" s="1"/>
      <x:c r="L36" s="9"/>
      <x:c r="M36" s="1"/>
    </x:row>
    <x:row r="37" ht="22" customHeight="1">
      <x:c r="A37" s="1"/>
      <x:c r="B37" s="1"/>
      <x:c r="C37" s="4" t="str">
        <x:v>ACH share of paid visits / active</x:v>
      </x:c>
      <x:c r="D37" s="15" t="n">
        <x:f>IF($D$3="Base",D38,IF($D$3="Downside",D39,D40))</x:f>
        <x:v>0.1</x:v>
      </x:c>
      <x:c r="E37" s="15" t="n">
        <x:f>IF($D$3="Base",E38,IF($D$3="Downside",E39,E40))</x:f>
        <x:v>0.2</x:v>
      </x:c>
      <x:c r="F37" s="15" t="n">
        <x:f>IF($D$3="Base",F38,IF($D$3="Downside",F39,F40))</x:f>
        <x:v>0.3</x:v>
      </x:c>
      <x:c r="G37" s="15" t="n">
        <x:f>IF($D$3="Base",G38,IF($D$3="Downside",G39,G40))</x:f>
        <x:v>0.4</x:v>
      </x:c>
      <x:c r="H37" s="15" t="n">
        <x:f>IF($D$3="Base",H38,IF($D$3="Downside",H39,H40))</x:f>
        <x:v>0.5</x:v>
      </x:c>
      <x:c r="I37" s="15" t="n">
        <x:f>IF($D$3="Base",I38,IF($D$3="Downside",I39,I40))</x:f>
        <x:v>0.55</x:v>
      </x:c>
      <x:c r="J37" s="15" t="n">
        <x:f>IF($D$3="Base",J38,IF($D$3="Downside",J39,J40))</x:f>
        <x:v>0.6</x:v>
      </x:c>
      <x:c r="K37" s="1"/>
      <x:c r="L37" s="9" t="str">
        <x:v>Planning assumption, September 20, 2026. No operating actuals supplied.</x:v>
      </x:c>
      <x:c r="M37" s="1"/>
    </x:row>
    <x:row r="38" ht="22" customHeight="1">
      <x:c r="A38" s="1"/>
      <x:c r="B38" s="1"/>
      <x:c r="C38" s="1" t="str">
        <x:v>Base</x:v>
      </x:c>
      <x:c r="D38" s="14" t="n">
        <x:v>0.1</x:v>
      </x:c>
      <x:c r="E38" s="14" t="n">
        <x:v>0.2</x:v>
      </x:c>
      <x:c r="F38" s="14" t="n">
        <x:v>0.3</x:v>
      </x:c>
      <x:c r="G38" s="14" t="n">
        <x:v>0.4</x:v>
      </x:c>
      <x:c r="H38" s="14" t="n">
        <x:v>0.5</x:v>
      </x:c>
      <x:c r="I38" s="14" t="n">
        <x:v>0.55</x:v>
      </x:c>
      <x:c r="J38" s="14" t="n">
        <x:v>0.6</x:v>
      </x:c>
      <x:c r="K38" s="1"/>
      <x:c r="L38" s="9"/>
      <x:c r="M38" s="1"/>
    </x:row>
    <x:row r="39" ht="22" customHeight="1">
      <x:c r="A39" s="1"/>
      <x:c r="B39" s="1"/>
      <x:c r="C39" s="1" t="str">
        <x:v>Downside</x:v>
      </x:c>
      <x:c r="D39" s="14" t="n">
        <x:v>0</x:v>
      </x:c>
      <x:c r="E39" s="14" t="n">
        <x:v>0.05</x:v>
      </x:c>
      <x:c r="F39" s="14" t="n">
        <x:v>0.05</x:v>
      </x:c>
      <x:c r="G39" s="14" t="n">
        <x:v>0.1</x:v>
      </x:c>
      <x:c r="H39" s="14" t="n">
        <x:v>0.1</x:v>
      </x:c>
      <x:c r="I39" s="14" t="n">
        <x:v>0.15</x:v>
      </x:c>
      <x:c r="J39" s="14" t="n">
        <x:v>0.2</x:v>
      </x:c>
      <x:c r="K39" s="1"/>
      <x:c r="L39" s="9"/>
      <x:c r="M39" s="1"/>
    </x:row>
    <x:row r="40" ht="22" customHeight="1">
      <x:c r="A40" s="1"/>
      <x:c r="B40" s="1"/>
      <x:c r="C40" s="1" t="str">
        <x:v>Upside</x:v>
      </x:c>
      <x:c r="D40" s="14" t="n">
        <x:v>0.2</x:v>
      </x:c>
      <x:c r="E40" s="14" t="n">
        <x:v>0.35</x:v>
      </x:c>
      <x:c r="F40" s="14" t="n">
        <x:v>0.5</x:v>
      </x:c>
      <x:c r="G40" s="14" t="n">
        <x:v>0.6</x:v>
      </x:c>
      <x:c r="H40" s="14" t="n">
        <x:v>0.7</x:v>
      </x:c>
      <x:c r="I40" s="14" t="n">
        <x:v>0.75</x:v>
      </x:c>
      <x:c r="J40" s="14" t="n">
        <x:v>0.75</x:v>
      </x:c>
      <x:c r="K40" s="1"/>
      <x:c r="L40" s="9"/>
      <x:c r="M40" s="1"/>
    </x:row>
    <x:row r="41" ht="22" customHeight="1">
      <x:c r="A41" s="1"/>
      <x:c r="B41" s="1"/>
      <x:c r="C41" s="1"/>
      <x:c r="D41" s="6"/>
      <x:c r="E41" s="6"/>
      <x:c r="F41" s="6"/>
      <x:c r="G41" s="6"/>
      <x:c r="H41" s="6"/>
      <x:c r="I41" s="6"/>
      <x:c r="J41" s="6"/>
      <x:c r="K41" s="1"/>
      <x:c r="L41" s="9"/>
      <x:c r="M41" s="1"/>
    </x:row>
    <x:row r="42" ht="22" customHeight="1">
      <x:c r="A42" s="1"/>
      <x:c r="B42" s="1"/>
      <x:c r="C42" s="4" t="str">
        <x:v>Blended acquisition / new household / active</x:v>
      </x:c>
      <x:c r="D42" s="24" t="n">
        <x:f>IF($D$3="Base",D43,IF($D$3="Downside",D44,D45))</x:f>
        <x:v>55</x:v>
      </x:c>
      <x:c r="E42" s="24" t="n">
        <x:f>IF($D$3="Base",E43,IF($D$3="Downside",E44,E45))</x:f>
        <x:v>50</x:v>
      </x:c>
      <x:c r="F42" s="24" t="n">
        <x:f>IF($D$3="Base",F43,IF($D$3="Downside",F44,F45))</x:f>
        <x:v>45</x:v>
      </x:c>
      <x:c r="G42" s="24" t="n">
        <x:f>IF($D$3="Base",G43,IF($D$3="Downside",G44,G45))</x:f>
        <x:v>40</x:v>
      </x:c>
      <x:c r="H42" s="24" t="n">
        <x:f>IF($D$3="Base",H43,IF($D$3="Downside",H44,H45))</x:f>
        <x:v>35</x:v>
      </x:c>
      <x:c r="I42" s="24" t="n">
        <x:f>IF($D$3="Base",I43,IF($D$3="Downside",I44,I45))</x:f>
        <x:v>30</x:v>
      </x:c>
      <x:c r="J42" s="24" t="n">
        <x:f>IF($D$3="Base",J43,IF($D$3="Downside",J44,J45))</x:f>
        <x:v>28</x:v>
      </x:c>
      <x:c r="K42" s="1"/>
      <x:c r="L42" s="9" t="str">
        <x:v>Cash customer acquisition per first paying household, including incentives and agency spend. Growth staff salaries in payroll.</x:v>
      </x:c>
      <x:c r="M42" s="1"/>
    </x:row>
    <x:row r="43" ht="22" customHeight="1">
      <x:c r="A43" s="1"/>
      <x:c r="B43" s="1"/>
      <x:c r="C43" s="1" t="str">
        <x:v>Base</x:v>
      </x:c>
      <x:c r="D43" s="23" t="n">
        <x:v>55</x:v>
      </x:c>
      <x:c r="E43" s="23" t="n">
        <x:v>50</x:v>
      </x:c>
      <x:c r="F43" s="23" t="n">
        <x:v>45</x:v>
      </x:c>
      <x:c r="G43" s="23" t="n">
        <x:v>40</x:v>
      </x:c>
      <x:c r="H43" s="23" t="n">
        <x:v>35</x:v>
      </x:c>
      <x:c r="I43" s="23" t="n">
        <x:v>30</x:v>
      </x:c>
      <x:c r="J43" s="23" t="n">
        <x:v>28</x:v>
      </x:c>
      <x:c r="K43" s="1"/>
      <x:c r="L43" s="9"/>
      <x:c r="M43" s="1"/>
    </x:row>
    <x:row r="44" ht="22" customHeight="1">
      <x:c r="A44" s="1"/>
      <x:c r="B44" s="1"/>
      <x:c r="C44" s="1" t="str">
        <x:v>Downside</x:v>
      </x:c>
      <x:c r="D44" s="23" t="n">
        <x:v>75</x:v>
      </x:c>
      <x:c r="E44" s="23" t="n">
        <x:v>70</x:v>
      </x:c>
      <x:c r="F44" s="23" t="n">
        <x:v>65</x:v>
      </x:c>
      <x:c r="G44" s="23" t="n">
        <x:v>60</x:v>
      </x:c>
      <x:c r="H44" s="23" t="n">
        <x:v>55</x:v>
      </x:c>
      <x:c r="I44" s="23" t="n">
        <x:v>50</x:v>
      </x:c>
      <x:c r="J44" s="23" t="n">
        <x:v>50</x:v>
      </x:c>
      <x:c r="K44" s="1"/>
      <x:c r="L44" s="9"/>
      <x:c r="M44" s="1"/>
    </x:row>
    <x:row r="45" ht="22" customHeight="1">
      <x:c r="A45" s="1"/>
      <x:c r="B45" s="1"/>
      <x:c r="C45" s="1" t="str">
        <x:v>Upside</x:v>
      </x:c>
      <x:c r="D45" s="23" t="n">
        <x:v>45</x:v>
      </x:c>
      <x:c r="E45" s="23" t="n">
        <x:v>35</x:v>
      </x:c>
      <x:c r="F45" s="23" t="n">
        <x:v>30</x:v>
      </x:c>
      <x:c r="G45" s="23" t="n">
        <x:v>28</x:v>
      </x:c>
      <x:c r="H45" s="23" t="n">
        <x:v>25</x:v>
      </x:c>
      <x:c r="I45" s="23" t="n">
        <x:v>23</x:v>
      </x:c>
      <x:c r="J45" s="23" t="n">
        <x:v>22</x:v>
      </x:c>
      <x:c r="K45" s="1"/>
      <x:c r="L45" s="9"/>
      <x:c r="M45" s="1"/>
    </x:row>
    <x:row r="46" ht="22" customHeight="1">
      <x:c r="A46" s="1"/>
      <x:c r="B46" s="1"/>
      <x:c r="C46" s="1"/>
      <x:c r="D46" s="6"/>
      <x:c r="E46" s="6"/>
      <x:c r="F46" s="6"/>
      <x:c r="G46" s="6"/>
      <x:c r="H46" s="6"/>
      <x:c r="I46" s="6"/>
      <x:c r="J46" s="6"/>
      <x:c r="K46" s="1"/>
      <x:c r="L46" s="9"/>
      <x:c r="M46" s="1"/>
    </x:row>
    <x:row r="47" ht="22" customHeight="1">
      <x:c r="A47" s="1"/>
      <x:c r="B47" s="1"/>
      <x:c r="C47" s="4" t="str">
        <x:v>Average paid employees / active</x:v>
      </x:c>
      <x:c r="D47" s="18" t="n">
        <x:f>IF($D$3="Base",D48,IF($D$3="Downside",D49,D50))</x:f>
        <x:v>3</x:v>
      </x:c>
      <x:c r="E47" s="18" t="n">
        <x:f>IF($D$3="Base",E48,IF($D$3="Downside",E49,E50))</x:f>
        <x:v>5</x:v>
      </x:c>
      <x:c r="F47" s="18" t="n">
        <x:f>IF($D$3="Base",F48,IF($D$3="Downside",F49,F50))</x:f>
        <x:v>8</x:v>
      </x:c>
      <x:c r="G47" s="18" t="n">
        <x:f>IF($D$3="Base",G48,IF($D$3="Downside",G49,G50))</x:f>
        <x:v>12</x:v>
      </x:c>
      <x:c r="H47" s="18" t="n">
        <x:f>IF($D$3="Base",H48,IF($D$3="Downside",H49,H50))</x:f>
        <x:v>18</x:v>
      </x:c>
      <x:c r="I47" s="18" t="n">
        <x:f>IF($D$3="Base",I48,IF($D$3="Downside",I49,I50))</x:f>
        <x:v>26</x:v>
      </x:c>
      <x:c r="J47" s="18" t="n">
        <x:f>IF($D$3="Base",J48,IF($D$3="Downside",J49,J50))</x:f>
        <x:v>36</x:v>
      </x:c>
      <x:c r="K47" s="1"/>
      <x:c r="L47" s="9" t="str">
        <x:v>Planning assumption, September 20, 2026. No operating actuals supplied.</x:v>
      </x:c>
      <x:c r="M47" s="1"/>
    </x:row>
    <x:row r="48" ht="22" customHeight="1">
      <x:c r="A48" s="1"/>
      <x:c r="B48" s="1"/>
      <x:c r="C48" s="1" t="str">
        <x:v>Base</x:v>
      </x:c>
      <x:c r="D48" s="17" t="n">
        <x:v>3</x:v>
      </x:c>
      <x:c r="E48" s="17" t="n">
        <x:v>5</x:v>
      </x:c>
      <x:c r="F48" s="17" t="n">
        <x:v>8</x:v>
      </x:c>
      <x:c r="G48" s="17" t="n">
        <x:v>12</x:v>
      </x:c>
      <x:c r="H48" s="17" t="n">
        <x:v>18</x:v>
      </x:c>
      <x:c r="I48" s="17" t="n">
        <x:v>26</x:v>
      </x:c>
      <x:c r="J48" s="17" t="n">
        <x:v>36</x:v>
      </x:c>
      <x:c r="K48" s="1"/>
      <x:c r="L48" s="9"/>
      <x:c r="M48" s="1"/>
    </x:row>
    <x:row r="49" ht="22" customHeight="1">
      <x:c r="A49" s="1"/>
      <x:c r="B49" s="1"/>
      <x:c r="C49" s="1" t="str">
        <x:v>Downside</x:v>
      </x:c>
      <x:c r="D49" s="17" t="n">
        <x:v>3</x:v>
      </x:c>
      <x:c r="E49" s="17" t="n">
        <x:v>4</x:v>
      </x:c>
      <x:c r="F49" s="17" t="n">
        <x:v>6</x:v>
      </x:c>
      <x:c r="G49" s="17" t="n">
        <x:v>8</x:v>
      </x:c>
      <x:c r="H49" s="17" t="n">
        <x:v>10</x:v>
      </x:c>
      <x:c r="I49" s="17" t="n">
        <x:v>13</x:v>
      </x:c>
      <x:c r="J49" s="17" t="n">
        <x:v>16</x:v>
      </x:c>
      <x:c r="K49" s="1"/>
      <x:c r="L49" s="9"/>
      <x:c r="M49" s="1"/>
    </x:row>
    <x:row r="50" ht="22" customHeight="1">
      <x:c r="A50" s="1"/>
      <x:c r="B50" s="1"/>
      <x:c r="C50" s="1" t="str">
        <x:v>Upside</x:v>
      </x:c>
      <x:c r="D50" s="17" t="n">
        <x:v>3</x:v>
      </x:c>
      <x:c r="E50" s="17" t="n">
        <x:v>5</x:v>
      </x:c>
      <x:c r="F50" s="17" t="n">
        <x:v>9</x:v>
      </x:c>
      <x:c r="G50" s="17" t="n">
        <x:v>15</x:v>
      </x:c>
      <x:c r="H50" s="17" t="n">
        <x:v>24</x:v>
      </x:c>
      <x:c r="I50" s="17" t="n">
        <x:v>36</x:v>
      </x:c>
      <x:c r="J50" s="17" t="n">
        <x:v>52</x:v>
      </x:c>
      <x:c r="K50" s="1"/>
      <x:c r="L50" s="9"/>
      <x:c r="M50" s="1"/>
    </x:row>
    <x:row r="51" ht="22" customHeight="1">
      <x:c r="A51" s="1"/>
      <x:c r="B51" s="1"/>
      <x:c r="C51" s="1"/>
      <x:c r="D51" s="6"/>
      <x:c r="E51" s="6"/>
      <x:c r="F51" s="6"/>
      <x:c r="G51" s="6"/>
      <x:c r="H51" s="6"/>
      <x:c r="I51" s="6"/>
      <x:c r="J51" s="6"/>
      <x:c r="K51" s="1"/>
      <x:c r="L51" s="9"/>
      <x:c r="M51" s="1"/>
    </x:row>
    <x:row r="52" ht="22" customHeight="1">
      <x:c r="A52" s="1"/>
      <x:c r="B52" s="1"/>
      <x:c r="C52" s="4" t="str">
        <x:v>Fully loaded annual cost / employee / active</x:v>
      </x:c>
      <x:c r="D52" s="24" t="n">
        <x:f>IF($D$3="Base",D53,IF($D$3="Downside",D54,D55))</x:f>
        <x:v>100000</x:v>
      </x:c>
      <x:c r="E52" s="24" t="n">
        <x:f>IF($D$3="Base",E53,IF($D$3="Downside",E54,E55))</x:f>
        <x:v>105000</x:v>
      </x:c>
      <x:c r="F52" s="24" t="n">
        <x:f>IF($D$3="Base",F53,IF($D$3="Downside",F54,F55))</x:f>
        <x:v>110000</x:v>
      </x:c>
      <x:c r="G52" s="24" t="n">
        <x:f>IF($D$3="Base",G53,IF($D$3="Downside",G54,G55))</x:f>
        <x:v>115000</x:v>
      </x:c>
      <x:c r="H52" s="24" t="n">
        <x:f>IF($D$3="Base",H53,IF($D$3="Downside",H54,H55))</x:f>
        <x:v>120000</x:v>
      </x:c>
      <x:c r="I52" s="24" t="n">
        <x:f>IF($D$3="Base",I53,IF($D$3="Downside",I54,I55))</x:f>
        <x:v>125000</x:v>
      </x:c>
      <x:c r="J52" s="24" t="n">
        <x:f>IF($D$3="Base",J53,IF($D$3="Downside",J54,J55))</x:f>
        <x:v>130000</x:v>
      </x:c>
      <x:c r="K52" s="1"/>
      <x:c r="L52" s="9" t="str">
        <x:v>Includes founder pay, payroll taxes and benefits. Variable support vendors appear in cost of revenue.</x:v>
      </x:c>
      <x:c r="M52" s="1"/>
    </x:row>
    <x:row r="53" ht="22" customHeight="1">
      <x:c r="A53" s="1"/>
      <x:c r="B53" s="1"/>
      <x:c r="C53" s="1" t="str">
        <x:v>Base</x:v>
      </x:c>
      <x:c r="D53" s="23" t="n">
        <x:v>100000</x:v>
      </x:c>
      <x:c r="E53" s="23" t="n">
        <x:v>105000</x:v>
      </x:c>
      <x:c r="F53" s="23" t="n">
        <x:v>110000</x:v>
      </x:c>
      <x:c r="G53" s="23" t="n">
        <x:v>115000</x:v>
      </x:c>
      <x:c r="H53" s="23" t="n">
        <x:v>120000</x:v>
      </x:c>
      <x:c r="I53" s="23" t="n">
        <x:v>125000</x:v>
      </x:c>
      <x:c r="J53" s="23" t="n">
        <x:v>130000</x:v>
      </x:c>
      <x:c r="K53" s="1"/>
      <x:c r="L53" s="9"/>
      <x:c r="M53" s="1"/>
    </x:row>
    <x:row r="54" ht="22" customHeight="1">
      <x:c r="A54" s="1"/>
      <x:c r="B54" s="1"/>
      <x:c r="C54" s="1" t="str">
        <x:v>Downside</x:v>
      </x:c>
      <x:c r="D54" s="23" t="n">
        <x:v>100000</x:v>
      </x:c>
      <x:c r="E54" s="23" t="n">
        <x:v>105000</x:v>
      </x:c>
      <x:c r="F54" s="23" t="n">
        <x:v>110000</x:v>
      </x:c>
      <x:c r="G54" s="23" t="n">
        <x:v>115000</x:v>
      </x:c>
      <x:c r="H54" s="23" t="n">
        <x:v>120000</x:v>
      </x:c>
      <x:c r="I54" s="23" t="n">
        <x:v>125000</x:v>
      </x:c>
      <x:c r="J54" s="23" t="n">
        <x:v>130000</x:v>
      </x:c>
      <x:c r="K54" s="1"/>
      <x:c r="L54" s="9"/>
      <x:c r="M54" s="1"/>
    </x:row>
    <x:row r="55" ht="22" customHeight="1">
      <x:c r="A55" s="1"/>
      <x:c r="B55" s="1"/>
      <x:c r="C55" s="1" t="str">
        <x:v>Upside</x:v>
      </x:c>
      <x:c r="D55" s="23" t="n">
        <x:v>100000</x:v>
      </x:c>
      <x:c r="E55" s="23" t="n">
        <x:v>105000</x:v>
      </x:c>
      <x:c r="F55" s="23" t="n">
        <x:v>110000</x:v>
      </x:c>
      <x:c r="G55" s="23" t="n">
        <x:v>115000</x:v>
      </x:c>
      <x:c r="H55" s="23" t="n">
        <x:v>120000</x:v>
      </x:c>
      <x:c r="I55" s="23" t="n">
        <x:v>125000</x:v>
      </x:c>
      <x:c r="J55" s="23" t="n">
        <x:v>130000</x:v>
      </x:c>
      <x:c r="K55" s="1"/>
      <x:c r="L55" s="9"/>
      <x:c r="M55" s="1"/>
    </x:row>
    <x:row r="56" ht="22" customHeight="1">
      <x:c r="A56" s="1"/>
      <x:c r="B56" s="1"/>
      <x:c r="C56" s="1"/>
      <x:c r="D56" s="6"/>
      <x:c r="E56" s="6"/>
      <x:c r="F56" s="6"/>
      <x:c r="G56" s="6"/>
      <x:c r="H56" s="6"/>
      <x:c r="I56" s="6"/>
      <x:c r="J56" s="6"/>
      <x:c r="K56" s="1"/>
      <x:c r="L56" s="9"/>
      <x:c r="M56" s="1"/>
    </x:row>
    <x:row r="57" ht="22" customHeight="1">
      <x:c r="A57" s="1"/>
      <x:c r="B57" s="1"/>
      <x:c r="C57" s="4" t="str">
        <x:v>Fixed overhead / active</x:v>
      </x:c>
      <x:c r="D57" s="24" t="n">
        <x:f>IF($D$3="Base",D58,IF($D$3="Downside",D59,D60))</x:f>
        <x:v>60000</x:v>
      </x:c>
      <x:c r="E57" s="24" t="n">
        <x:f>IF($D$3="Base",E58,IF($D$3="Downside",E59,E60))</x:f>
        <x:v>100000</x:v>
      </x:c>
      <x:c r="F57" s="24" t="n">
        <x:f>IF($D$3="Base",F58,IF($D$3="Downside",F59,F60))</x:f>
        <x:v>160000</x:v>
      </x:c>
      <x:c r="G57" s="24" t="n">
        <x:f>IF($D$3="Base",G58,IF($D$3="Downside",G59,G60))</x:f>
        <x:v>250000</x:v>
      </x:c>
      <x:c r="H57" s="24" t="n">
        <x:f>IF($D$3="Base",H58,IF($D$3="Downside",H59,H60))</x:f>
        <x:v>400000</x:v>
      </x:c>
      <x:c r="I57" s="24" t="n">
        <x:f>IF($D$3="Base",I58,IF($D$3="Downside",I59,I60))</x:f>
        <x:v>600000</x:v>
      </x:c>
      <x:c r="J57" s="24" t="n">
        <x:f>IF($D$3="Base",J58,IF($D$3="Downside",J59,J60))</x:f>
        <x:v>800000</x:v>
      </x:c>
      <x:c r="K57" s="1"/>
      <x:c r="L57" s="9" t="str">
        <x:v>Insurance, legal, accounting, fixed software and facilities. Includes launch/provider agreement work.</x:v>
      </x:c>
      <x:c r="M57" s="1"/>
    </x:row>
    <x:row r="58" ht="22" customHeight="1">
      <x:c r="A58" s="1"/>
      <x:c r="B58" s="1"/>
      <x:c r="C58" s="1" t="str">
        <x:v>Base</x:v>
      </x:c>
      <x:c r="D58" s="23" t="n">
        <x:v>60000</x:v>
      </x:c>
      <x:c r="E58" s="23" t="n">
        <x:v>100000</x:v>
      </x:c>
      <x:c r="F58" s="23" t="n">
        <x:v>160000</x:v>
      </x:c>
      <x:c r="G58" s="23" t="n">
        <x:v>250000</x:v>
      </x:c>
      <x:c r="H58" s="23" t="n">
        <x:v>400000</x:v>
      </x:c>
      <x:c r="I58" s="23" t="n">
        <x:v>600000</x:v>
      </x:c>
      <x:c r="J58" s="23" t="n">
        <x:v>800000</x:v>
      </x:c>
      <x:c r="K58" s="1"/>
      <x:c r="L58" s="9"/>
      <x:c r="M58" s="1"/>
    </x:row>
    <x:row r="59" ht="22" customHeight="1">
      <x:c r="A59" s="1"/>
      <x:c r="B59" s="1"/>
      <x:c r="C59" s="1" t="str">
        <x:v>Downside</x:v>
      </x:c>
      <x:c r="D59" s="23" t="n">
        <x:v>60000</x:v>
      </x:c>
      <x:c r="E59" s="23" t="n">
        <x:v>80000</x:v>
      </x:c>
      <x:c r="F59" s="23" t="n">
        <x:v>120000</x:v>
      </x:c>
      <x:c r="G59" s="23" t="n">
        <x:v>160000</x:v>
      </x:c>
      <x:c r="H59" s="23" t="n">
        <x:v>200000</x:v>
      </x:c>
      <x:c r="I59" s="23" t="n">
        <x:v>260000</x:v>
      </x:c>
      <x:c r="J59" s="23" t="n">
        <x:v>340000</x:v>
      </x:c>
      <x:c r="K59" s="1"/>
      <x:c r="L59" s="9"/>
      <x:c r="M59" s="1"/>
    </x:row>
    <x:row r="60" ht="22" customHeight="1">
      <x:c r="A60" s="1"/>
      <x:c r="B60" s="1"/>
      <x:c r="C60" s="1" t="str">
        <x:v>Upside</x:v>
      </x:c>
      <x:c r="D60" s="23" t="n">
        <x:v>60000</x:v>
      </x:c>
      <x:c r="E60" s="23" t="n">
        <x:v>100000</x:v>
      </x:c>
      <x:c r="F60" s="23" t="n">
        <x:v>180000</x:v>
      </x:c>
      <x:c r="G60" s="23" t="n">
        <x:v>300000</x:v>
      </x:c>
      <x:c r="H60" s="23" t="n">
        <x:v>500000</x:v>
      </x:c>
      <x:c r="I60" s="23" t="n">
        <x:v>800000</x:v>
      </x:c>
      <x:c r="J60" s="23" t="n">
        <x:v>1200000</x:v>
      </x:c>
      <x:c r="K60" s="1"/>
      <x:c r="L60" s="9"/>
      <x:c r="M60" s="1"/>
    </x:row>
    <x:row r="61" ht="22" customHeight="1">
      <x:c r="A61" s="1"/>
      <x:c r="B61" s="1"/>
      <x:c r="C61" s="1"/>
      <x:c r="D61" s="6"/>
      <x:c r="E61" s="6"/>
      <x:c r="F61" s="6"/>
      <x:c r="G61" s="6"/>
      <x:c r="H61" s="6"/>
      <x:c r="I61" s="6"/>
      <x:c r="J61" s="6"/>
      <x:c r="K61" s="1"/>
      <x:c r="L61" s="9"/>
      <x:c r="M61" s="1"/>
    </x:row>
    <x:row r="62" ht="22" customHeight="1">
      <x:c r="A62" s="1"/>
      <x:c r="B62" s="1"/>
      <x:c r="C62" s="4" t="str">
        <x:v>Equipment capex / active</x:v>
      </x:c>
      <x:c r="D62" s="24" t="n">
        <x:f>IF($D$3="Base",D63,IF($D$3="Downside",D64,D65))</x:f>
        <x:v>15000</x:v>
      </x:c>
      <x:c r="E62" s="24" t="n">
        <x:f>IF($D$3="Base",E63,IF($D$3="Downside",E64,E65))</x:f>
        <x:v>25000</x:v>
      </x:c>
      <x:c r="F62" s="24" t="n">
        <x:f>IF($D$3="Base",F63,IF($D$3="Downside",F64,F65))</x:f>
        <x:v>40000</x:v>
      </x:c>
      <x:c r="G62" s="24" t="n">
        <x:f>IF($D$3="Base",G63,IF($D$3="Downside",G64,G65))</x:f>
        <x:v>60000</x:v>
      </x:c>
      <x:c r="H62" s="24" t="n">
        <x:f>IF($D$3="Base",H63,IF($D$3="Downside",H64,H65))</x:f>
        <x:v>90000</x:v>
      </x:c>
      <x:c r="I62" s="24" t="n">
        <x:f>IF($D$3="Base",I63,IF($D$3="Downside",I64,I65))</x:f>
        <x:v>130000</x:v>
      </x:c>
      <x:c r="J62" s="24" t="n">
        <x:f>IF($D$3="Base",J63,IF($D$3="Downside",J64,J65))</x:f>
        <x:v>180000</x:v>
      </x:c>
      <x:c r="K62" s="1"/>
      <x:c r="L62" s="9" t="str">
        <x:v>Planning assumption, September 20, 2026. No operating actuals supplied.</x:v>
      </x:c>
      <x:c r="M62" s="1"/>
    </x:row>
    <x:row r="63" ht="22" customHeight="1">
      <x:c r="A63" s="1"/>
      <x:c r="B63" s="1"/>
      <x:c r="C63" s="1" t="str">
        <x:v>Base</x:v>
      </x:c>
      <x:c r="D63" s="23" t="n">
        <x:v>15000</x:v>
      </x:c>
      <x:c r="E63" s="23" t="n">
        <x:v>25000</x:v>
      </x:c>
      <x:c r="F63" s="23" t="n">
        <x:v>40000</x:v>
      </x:c>
      <x:c r="G63" s="23" t="n">
        <x:v>60000</x:v>
      </x:c>
      <x:c r="H63" s="23" t="n">
        <x:v>90000</x:v>
      </x:c>
      <x:c r="I63" s="23" t="n">
        <x:v>130000</x:v>
      </x:c>
      <x:c r="J63" s="23" t="n">
        <x:v>180000</x:v>
      </x:c>
      <x:c r="K63" s="1"/>
      <x:c r="L63" s="9"/>
      <x:c r="M63" s="1"/>
    </x:row>
    <x:row r="64" ht="22" customHeight="1">
      <x:c r="A64" s="1"/>
      <x:c r="B64" s="1"/>
      <x:c r="C64" s="1" t="str">
        <x:v>Downside</x:v>
      </x:c>
      <x:c r="D64" s="23" t="n">
        <x:v>15000</x:v>
      </x:c>
      <x:c r="E64" s="23" t="n">
        <x:v>25000</x:v>
      </x:c>
      <x:c r="F64" s="23" t="n">
        <x:v>40000</x:v>
      </x:c>
      <x:c r="G64" s="23" t="n">
        <x:v>60000</x:v>
      </x:c>
      <x:c r="H64" s="23" t="n">
        <x:v>90000</x:v>
      </x:c>
      <x:c r="I64" s="23" t="n">
        <x:v>130000</x:v>
      </x:c>
      <x:c r="J64" s="23" t="n">
        <x:v>180000</x:v>
      </x:c>
      <x:c r="K64" s="1"/>
      <x:c r="L64" s="9"/>
      <x:c r="M64" s="1"/>
    </x:row>
    <x:row r="65" ht="22" customHeight="1">
      <x:c r="A65" s="1"/>
      <x:c r="B65" s="1"/>
      <x:c r="C65" s="1" t="str">
        <x:v>Upside</x:v>
      </x:c>
      <x:c r="D65" s="23" t="n">
        <x:v>15000</x:v>
      </x:c>
      <x:c r="E65" s="23" t="n">
        <x:v>25000</x:v>
      </x:c>
      <x:c r="F65" s="23" t="n">
        <x:v>45000</x:v>
      </x:c>
      <x:c r="G65" s="23" t="n">
        <x:v>75000</x:v>
      </x:c>
      <x:c r="H65" s="23" t="n">
        <x:v>120000</x:v>
      </x:c>
      <x:c r="I65" s="23" t="n">
        <x:v>180000</x:v>
      </x:c>
      <x:c r="J65" s="23" t="n">
        <x:v>260000</x:v>
      </x:c>
      <x:c r="K65" s="1"/>
      <x:c r="L65" s="9"/>
      <x:c r="M65" s="1"/>
    </x:row>
    <x:row r="66" ht="22" customHeight="1">
      <x:c r="A66" s="1"/>
      <x:c r="B66" s="1"/>
      <x:c r="C66" s="1"/>
      <x:c r="D66" s="6"/>
      <x:c r="E66" s="6"/>
      <x:c r="F66" s="6"/>
      <x:c r="G66" s="6"/>
      <x:c r="H66" s="6"/>
      <x:c r="I66" s="6"/>
      <x:c r="J66" s="6"/>
      <x:c r="K66" s="1"/>
      <x:c r="L66" s="9"/>
      <x:c r="M66" s="1"/>
    </x:row>
    <x:row r="67" ht="22" customHeight="1">
      <x:c r="A67" s="1"/>
      <x:c r="B67" s="1"/>
      <x:c r="C67" s="1"/>
      <x:c r="D67" s="6"/>
      <x:c r="E67" s="6"/>
      <x:c r="F67" s="6"/>
      <x:c r="G67" s="6"/>
      <x:c r="H67" s="6"/>
      <x:c r="I67" s="6"/>
      <x:c r="J67" s="6"/>
      <x:c r="K67" s="1"/>
      <x:c r="L67" s="9"/>
      <x:c r="M67" s="1"/>
    </x:row>
    <x:row r="68" ht="22" customHeight="1">
      <x:c r="A68" s="1"/>
      <x:c r="B68" s="1"/>
      <x:c r="C68" s="5" t="str">
        <x:v>Shared assumptions</x:v>
      </x:c>
      <x:c r="D68" s="26"/>
      <x:c r="E68" s="26"/>
      <x:c r="F68" s="26"/>
      <x:c r="G68" s="26"/>
      <x:c r="H68" s="26"/>
      <x:c r="I68" s="26"/>
      <x:c r="J68" s="26"/>
      <x:c r="K68" s="1"/>
      <x:c r="L68" s="9"/>
      <x:c r="M68" s="1"/>
    </x:row>
    <x:row r="69" ht="22" customHeight="1">
      <x:c r="A69" s="1"/>
      <x:c r="B69" s="1"/>
      <x:c r="C69" s="1" t="str">
        <x:v>Finder fee / new relationship</x:v>
      </x:c>
      <x:c r="D69" s="20" t="n">
        <x:v>45</x:v>
      </x:c>
      <x:c r="E69" s="6"/>
      <x:c r="F69" s="6"/>
      <x:c r="G69" s="6"/>
      <x:c r="H69" s="6"/>
      <x:c r="I69" s="6"/>
      <x:c r="J69" s="6"/>
      <x:c r="K69" s="1"/>
      <x:c r="L69" s="9" t="str">
        <x:v>Partner pitch p8. One fee per customer/provider pair, after first paid completed job.</x:v>
      </x:c>
      <x:c r="M69" s="1"/>
    </x:row>
    <x:row r="70" ht="22" customHeight="1">
      <x:c r="A70" s="1"/>
      <x:c r="B70" s="1"/>
      <x:c r="C70" s="1" t="str">
        <x:v>Provider fee / paid completed service</x:v>
      </x:c>
      <x:c r="D70" s="20" t="n">
        <x:v>2.99</x:v>
      </x:c>
      <x:c r="E70" s="6"/>
      <x:c r="F70" s="6"/>
      <x:c r="G70" s="6"/>
      <x:c r="H70" s="6"/>
      <x:c r="I70" s="6"/>
      <x:c r="J70" s="6"/>
      <x:c r="K70" s="1"/>
      <x:c r="L70" s="9" t="str">
        <x:v>Patrick instruction, September 20, 2026. Applies to first and repeat jobs.</x:v>
      </x:c>
      <x:c r="M70" s="1"/>
    </x:row>
    <x:row r="71" ht="22" customHeight="1">
      <x:c r="A71" s="1"/>
      <x:c r="B71" s="1"/>
      <x:c r="C71" s="1" t="str">
        <x:v>New household season exposure</x:v>
      </x:c>
      <x:c r="D71" s="14" t="n">
        <x:v>0.5</x:v>
      </x:c>
      <x:c r="E71" s="6"/>
      <x:c r="F71" s="6"/>
      <x:c r="G71" s="6"/>
      <x:c r="H71" s="6"/>
      <x:c r="I71" s="6"/>
      <x:c r="J71" s="6"/>
      <x:c r="K71" s="1"/>
      <x:c r="L71" s="9" t="str">
        <x:v>Mid-season acquisition. Retained households participate for a full season.</x:v>
      </x:c>
      <x:c r="M71" s="1"/>
    </x:row>
    <x:row r="72" ht="22" customHeight="1">
      <x:c r="A72" s="1"/>
      <x:c r="B72" s="1"/>
      <x:c r="C72" s="1" t="str">
        <x:v>Year-end households / provider</x:v>
      </x:c>
      <x:c r="D72" s="11" t="n">
        <x:v>40</x:v>
      </x:c>
      <x:c r="E72" s="6"/>
      <x:c r="F72" s="6"/>
      <x:c r="G72" s="6"/>
      <x:c r="H72" s="6"/>
      <x:c r="I72" s="6"/>
      <x:c r="J72" s="6"/>
      <x:c r="K72" s="1"/>
      <x:c r="L72" s="9" t="str">
        <x:v>Supply sizing assumption. Fractional providers round up.</x:v>
      </x:c>
      <x:c r="M72" s="1"/>
    </x:row>
    <x:row r="73" ht="22" customHeight="1">
      <x:c r="A73" s="1"/>
      <x:c r="B73" s="1"/>
      <x:c r="C73" s="1" t="str">
        <x:v>Provider annual retention</x:v>
      </x:c>
      <x:c r="D73" s="14" t="n">
        <x:v>0.85</x:v>
      </x:c>
      <x:c r="E73" s="6"/>
      <x:c r="F73" s="6"/>
      <x:c r="G73" s="6"/>
      <x:c r="H73" s="6"/>
      <x:c r="I73" s="6"/>
      <x:c r="J73" s="6"/>
      <x:c r="K73" s="1"/>
      <x:c r="L73" s="9" t="str">
        <x:v>Supply churn assumption. Replacement providers get the welcome offer.</x:v>
      </x:c>
      <x:c r="M73" s="1"/>
    </x:row>
    <x:row r="74" ht="22" customHeight="1">
      <x:c r="A74" s="1"/>
      <x:c r="B74" s="1"/>
      <x:c r="C74" s="1" t="str">
        <x:v>Payout-active months / year</x:v>
      </x:c>
      <x:c r="D74" s="11" t="n">
        <x:v>8</x:v>
      </x:c>
      <x:c r="E74" s="6"/>
      <x:c r="F74" s="6"/>
      <x:c r="G74" s="6"/>
      <x:c r="H74" s="6"/>
      <x:c r="I74" s="6"/>
      <x:c r="J74" s="6"/>
      <x:c r="K74" s="1"/>
      <x:c r="L74" s="9" t="str">
        <x:v>Seasonal market assumption. Fixed payroll and overhead run all 12 months.</x:v>
      </x:c>
      <x:c r="M74" s="1"/>
    </x:row>
    <x:row r="75" ht="22" customHeight="1">
      <x:c r="A75" s="1"/>
      <x:c r="B75" s="1"/>
      <x:c r="C75" s="1" t="str">
        <x:v>Payouts / active provider month</x:v>
      </x:c>
      <x:c r="D75" s="27" t="n">
        <x:v>4.33</x:v>
      </x:c>
      <x:c r="E75" s="6"/>
      <x:c r="F75" s="6"/>
      <x:c r="G75" s="6"/>
      <x:c r="H75" s="6"/>
      <x:c r="I75" s="6"/>
      <x:c r="J75" s="6"/>
      <x:c r="K75" s="1"/>
      <x:c r="L75" s="9" t="str">
        <x:v>Weekly batching assumption, not one payout per job.</x:v>
      </x:c>
      <x:c r="M75" s="1"/>
    </x:row>
    <x:row r="76" ht="22" customHeight="1">
      <x:c r="A76" s="1"/>
      <x:c r="B76" s="1"/>
      <x:c r="C76" s="1" t="str">
        <x:v>Domestic card rate</x:v>
      </x:c>
      <x:c r="D76" s="14" t="n">
        <x:v>0.029</x:v>
      </x:c>
      <x:c r="E76" s="6"/>
      <x:c r="F76" s="6"/>
      <x:c r="G76" s="6"/>
      <x:c r="H76" s="6"/>
      <x:c r="I76" s="6"/>
      <x:c r="J76" s="6"/>
      <x:c r="K76" s="1"/>
      <x:c r="L76" s="9" t="str">
        <x:v>Stripe standard US pricing, checked Sep 20, 2026: https://stripe.com/pricing</x:v>
      </x:c>
      <x:c r="M76" s="1"/>
    </x:row>
    <x:row r="77" ht="22" customHeight="1">
      <x:c r="A77" s="1"/>
      <x:c r="B77" s="1"/>
      <x:c r="C77" s="1" t="str">
        <x:v>Domestic card fixed charge</x:v>
      </x:c>
      <x:c r="D77" s="20" t="n">
        <x:v>0.3</x:v>
      </x:c>
      <x:c r="E77" s="6"/>
      <x:c r="F77" s="6"/>
      <x:c r="G77" s="6"/>
      <x:c r="H77" s="6"/>
      <x:c r="I77" s="6"/>
      <x:c r="J77" s="6"/>
      <x:c r="K77" s="1"/>
      <x:c r="L77" s="9" t="str">
        <x:v>Stripe standard US pricing: https://stripe.com/pricing</x:v>
      </x:c>
      <x:c r="M77" s="1"/>
    </x:row>
    <x:row r="78" ht="22" customHeight="1">
      <x:c r="A78" s="1"/>
      <x:c r="B78" s="1"/>
      <x:c r="C78" s="1" t="str">
        <x:v>ACH debit rate</x:v>
      </x:c>
      <x:c r="D78" s="14" t="n">
        <x:v>0.008</x:v>
      </x:c>
      <x:c r="E78" s="6"/>
      <x:c r="F78" s="6"/>
      <x:c r="G78" s="6"/>
      <x:c r="H78" s="6"/>
      <x:c r="I78" s="6"/>
      <x:c r="J78" s="6"/>
      <x:c r="K78" s="1"/>
      <x:c r="L78" s="9" t="str">
        <x:v>Stripe standard US ACH 0.8%, $5 cap: https://stripe.com/pricing</x:v>
      </x:c>
      <x:c r="M78" s="1"/>
    </x:row>
    <x:row r="79" ht="22" customHeight="1">
      <x:c r="A79" s="1"/>
      <x:c r="B79" s="1"/>
      <x:c r="C79" s="1" t="str">
        <x:v>ACH debit cap</x:v>
      </x:c>
      <x:c r="D79" s="20" t="n">
        <x:v>5</x:v>
      </x:c>
      <x:c r="E79" s="6"/>
      <x:c r="F79" s="6"/>
      <x:c r="G79" s="6"/>
      <x:c r="H79" s="6"/>
      <x:c r="I79" s="6"/>
      <x:c r="J79" s="6"/>
      <x:c r="K79" s="1"/>
      <x:c r="L79" s="9" t="str">
        <x:v>Stripe standard US pricing: https://stripe.com/pricing</x:v>
      </x:c>
      <x:c r="M79" s="1"/>
    </x:row>
    <x:row r="80" ht="22" customHeight="1">
      <x:c r="A80" s="1"/>
      <x:c r="B80" s="1"/>
      <x:c r="C80" s="1" t="str">
        <x:v>Connect payout volume rate</x:v>
      </x:c>
      <x:c r="D80" s="28" t="n">
        <x:v>0.0025</x:v>
      </x:c>
      <x:c r="E80" s="6"/>
      <x:c r="F80" s="6"/>
      <x:c r="G80" s="6"/>
      <x:c r="H80" s="6"/>
      <x:c r="I80" s="6"/>
      <x:c r="J80" s="6"/>
      <x:c r="K80" s="1"/>
      <x:c r="L80" s="9" t="str">
        <x:v>US platform-controlled pricing assumption: https://stripe.com/connect/pricing and https://support.stripe.com/questions/monetizing-payments-with-stripe-connect</x:v>
      </x:c>
      <x:c r="M80" s="1"/>
    </x:row>
    <x:row r="81" ht="22" customHeight="1">
      <x:c r="A81" s="1"/>
      <x:c r="B81" s="1"/>
      <x:c r="C81" s="1" t="str">
        <x:v>Connect cost / payout</x:v>
      </x:c>
      <x:c r="D81" s="20" t="n">
        <x:v>0.25</x:v>
      </x:c>
      <x:c r="E81" s="6"/>
      <x:c r="F81" s="6"/>
      <x:c r="G81" s="6"/>
      <x:c r="H81" s="6"/>
      <x:c r="I81" s="6"/>
      <x:c r="J81" s="6"/>
      <x:c r="K81" s="1"/>
      <x:c r="L81" s="9" t="str">
        <x:v>Same Connect source. Confirm exact contracted account configuration before launch.</x:v>
      </x:c>
      <x:c r="M81" s="1"/>
    </x:row>
    <x:row r="82" ht="22" customHeight="1">
      <x:c r="A82" s="1"/>
      <x:c r="B82" s="1"/>
      <x:c r="C82" s="1" t="str">
        <x:v>Connect / active account month</x:v>
      </x:c>
      <x:c r="D82" s="20" t="n">
        <x:v>2</x:v>
      </x:c>
      <x:c r="E82" s="6"/>
      <x:c r="F82" s="6"/>
      <x:c r="G82" s="6"/>
      <x:c r="H82" s="6"/>
      <x:c r="I82" s="6"/>
      <x:c r="J82" s="6"/>
      <x:c r="K82" s="1"/>
      <x:c r="L82" s="9" t="str">
        <x:v>Same Connect source. Added to card/ACH processing costs.</x:v>
      </x:c>
      <x:c r="M82" s="1"/>
    </x:row>
    <x:row r="83" ht="22" customHeight="1">
      <x:c r="A83" s="1"/>
      <x:c r="B83" s="1"/>
      <x:c r="C83" s="1" t="str">
        <x:v>Allowance / new bank link</x:v>
      </x:c>
      <x:c r="D83" s="20" t="n">
        <x:v>1.5</x:v>
      </x:c>
      <x:c r="E83" s="6"/>
      <x:c r="F83" s="6"/>
      <x:c r="G83" s="6"/>
      <x:c r="H83" s="6"/>
      <x:c r="I83" s="6"/>
      <x:c r="J83" s="6"/>
      <x:c r="K83" s="1"/>
      <x:c r="L83" s="9" t="str">
        <x:v>Conservative Financial Connections allowance. Actual ACH integration may bundle verification: https://stripe.com/financial-connections</x:v>
      </x:c>
      <x:c r="M83" s="1"/>
    </x:row>
    <x:row r="84" ht="22" customHeight="1">
      <x:c r="A84" s="1"/>
      <x:c r="B84" s="1"/>
      <x:c r="C84" s="1" t="str">
        <x:v>Variable support / paid job</x:v>
      </x:c>
      <x:c r="D84" s="20" t="n">
        <x:v>0.35</x:v>
      </x:c>
      <x:c r="E84" s="6"/>
      <x:c r="F84" s="6"/>
      <x:c r="G84" s="6"/>
      <x:c r="H84" s="6"/>
      <x:c r="I84" s="6"/>
      <x:c r="J84" s="6"/>
      <x:c r="K84" s="1"/>
      <x:c r="L84" s="9" t="str">
        <x:v>Planning allowance for external support labor. Staff salaries separately in payroll.</x:v>
      </x:c>
      <x:c r="M84" s="1"/>
    </x:row>
    <x:row r="85" ht="22" customHeight="1">
      <x:c r="A85" s="1"/>
      <x:c r="B85" s="1"/>
      <x:c r="C85" s="1" t="str">
        <x:v>Variable infrastructure / paid job</x:v>
      </x:c>
      <x:c r="D85" s="20" t="n">
        <x:v>0.1</x:v>
      </x:c>
      <x:c r="E85" s="6"/>
      <x:c r="F85" s="6"/>
      <x:c r="G85" s="6"/>
      <x:c r="H85" s="6"/>
      <x:c r="I85" s="6"/>
      <x:c r="J85" s="6"/>
      <x:c r="K85" s="1"/>
      <x:c r="L85" s="9" t="str">
        <x:v>Messaging, maps, storage and usage-based infrastructure allowance.</x:v>
      </x:c>
      <x:c r="M85" s="1"/>
    </x:row>
    <x:row r="86" ht="22" customHeight="1">
      <x:c r="A86" s="1"/>
      <x:c r="B86" s="1"/>
      <x:c r="C86" s="1" t="str">
        <x:v>Net refunds, disputes and ACH loss / GMV</x:v>
      </x:c>
      <x:c r="D86" s="14" t="n">
        <x:v>0.002</x:v>
      </x:c>
      <x:c r="E86" s="6"/>
      <x:c r="F86" s="6"/>
      <x:c r="G86" s="6"/>
      <x:c r="H86" s="6"/>
      <x:c r="I86" s="6"/>
      <x:c r="J86" s="6"/>
      <x:c r="K86" s="1"/>
      <x:c r="L86" s="9" t="str">
        <x:v>Planning reserve for fee reversals, unrecovered processing, payment losses and goodwill. Validate live.</x:v>
      </x:c>
      <x:c r="M86" s="1"/>
    </x:row>
    <x:row r="87" ht="22" customHeight="1">
      <x:c r="A87" s="1"/>
      <x:c r="B87" s="1"/>
      <x:c r="C87" s="1" t="str">
        <x:v>Acquisition and verification / new provider</x:v>
      </x:c>
      <x:c r="D87" s="23" t="n">
        <x:v>75</x:v>
      </x:c>
      <x:c r="E87" s="6"/>
      <x:c r="F87" s="6"/>
      <x:c r="G87" s="6"/>
      <x:c r="H87" s="6"/>
      <x:c r="I87" s="6"/>
      <x:c r="J87" s="6"/>
      <x:c r="K87" s="1"/>
      <x:c r="L87" s="9" t="str">
        <x:v>Planning allowance beyond waived finder fees and growth staff salaries.</x:v>
      </x:c>
      <x:c r="M87" s="1"/>
    </x:row>
    <x:row r="88" ht="22" customHeight="1">
      <x:c r="A88" s="1"/>
      <x:c r="B88" s="1"/>
      <x:c r="C88" s="1" t="str">
        <x:v>Free first pairing / new provider</x:v>
      </x:c>
      <x:c r="D88" s="11" t="n">
        <x:v>1</x:v>
      </x:c>
      <x:c r="E88" s="6"/>
      <x:c r="F88" s="6"/>
      <x:c r="G88" s="6"/>
      <x:c r="H88" s="6"/>
      <x:c r="I88" s="6"/>
      <x:c r="J88" s="6"/>
      <x:c r="K88" s="1"/>
      <x:c r="L88" s="9" t="str">
        <x:v>Partner PDF page 9 welcome offer. Only finder fee waived. $2.99 service fee applies.</x:v>
      </x:c>
      <x:c r="M88" s="1"/>
    </x:row>
    <x:row r="89" ht="22" customHeight="1">
      <x:c r="A89" s="1"/>
      <x:c r="B89" s="1"/>
      <x:c r="C89" s="1" t="str">
        <x:v>Illustrative tax on positive EBIT</x:v>
      </x:c>
      <x:c r="D89" s="14" t="n">
        <x:v>0.25</x:v>
      </x:c>
      <x:c r="E89" s="6"/>
      <x:c r="F89" s="6"/>
      <x:c r="G89" s="6"/>
      <x:c r="H89" s="6"/>
      <x:c r="I89" s="6"/>
      <x:c r="J89" s="6"/>
      <x:c r="K89" s="1"/>
      <x:c r="L89" s="9" t="str">
        <x:v>Model placeholder only. No loss carryforward benefit assumed. Not an assessed tax rate.</x:v>
      </x:c>
      <x:c r="M89" s="1"/>
    </x:row>
    <x:row r="90" ht="22" customHeight="1">
      <x:c r="A90" s="1"/>
      <x:c r="B90" s="1"/>
      <x:c r="C90" s="1" t="str">
        <x:v>Restricted risk cash / annual GMV</x:v>
      </x:c>
      <x:c r="D90" s="14" t="n">
        <x:v>0.01</x:v>
      </x:c>
      <x:c r="E90" s="6"/>
      <x:c r="F90" s="6"/>
      <x:c r="G90" s="6"/>
      <x:c r="H90" s="6"/>
      <x:c r="I90" s="6"/>
      <x:c r="J90" s="6"/>
      <x:c r="K90" s="1"/>
      <x:c r="L90" s="9" t="str">
        <x:v>Planning cash buffer, not a quoted Stripe reserve requirement.</x:v>
      </x:c>
      <x:c r="M90" s="1"/>
    </x:row>
    <x:row r="91" ht="22" customHeight="1">
      <x:c r="A91" s="1"/>
      <x:c r="B91" s="1"/>
      <x:c r="C91" s="1" t="str">
        <x:v>Equipment useful life / years</x:v>
      </x:c>
      <x:c r="D91" s="11" t="n">
        <x:v>3</x:v>
      </x:c>
      <x:c r="E91" s="6"/>
      <x:c r="F91" s="6"/>
      <x:c r="G91" s="6"/>
      <x:c r="H91" s="6"/>
      <x:c r="I91" s="6"/>
      <x:c r="J91" s="6"/>
      <x:c r="K91" s="1"/>
      <x:c r="L91" s="9" t="str">
        <x:v>Straight-line from start of acquisition year. Development payroll expensed.</x:v>
      </x:c>
      <x:c r="M91" s="1"/>
    </x:row>
    <x:row r="92" ht="22" customHeight="1">
      <x:c r="A92" s="1"/>
      <x:c r="B92" s="1"/>
      <x:c r="C92" s="1" t="str">
        <x:v>Illustrative round 1 gross proceeds</x:v>
      </x:c>
      <x:c r="D92" s="23" t="n">
        <x:v>1500000</x:v>
      </x:c>
      <x:c r="E92" s="6"/>
      <x:c r="F92" s="6"/>
      <x:c r="G92" s="6"/>
      <x:c r="H92" s="6"/>
      <x:c r="I92" s="6"/>
      <x:c r="J92" s="6"/>
      <x:c r="K92" s="1"/>
      <x:c r="L92" s="9" t="str">
        <x:v>Financing illustration, not an agreed valuation or fundraising target.</x:v>
      </x:c>
      <x:c r="M92" s="1"/>
    </x:row>
    <x:row r="93" ht="22" customHeight="1">
      <x:c r="A93" s="1"/>
      <x:c r="B93" s="1"/>
      <x:c r="C93" s="1" t="str">
        <x:v>Round 1 transaction cost</x:v>
      </x:c>
      <x:c r="D93" s="23" t="n">
        <x:v>25000</x:v>
      </x:c>
      <x:c r="E93" s="6"/>
      <x:c r="F93" s="6"/>
      <x:c r="G93" s="6"/>
      <x:c r="H93" s="6"/>
      <x:c r="I93" s="6"/>
      <x:c r="J93" s="6"/>
      <x:c r="K93" s="1"/>
      <x:c r="L93" s="9" t="str">
        <x:v>Planning allowance, paid when round closes.</x:v>
      </x:c>
      <x:c r="M93" s="1"/>
    </x:row>
    <x:row r="94" ht="22" customHeight="1">
      <x:c r="A94" s="1"/>
      <x:c r="B94" s="1"/>
      <x:c r="C94" s="1" t="str">
        <x:v>Fixed operating cost buffer / months</x:v>
      </x:c>
      <x:c r="D94" s="11" t="n">
        <x:v>6</x:v>
      </x:c>
      <x:c r="E94" s="6"/>
      <x:c r="F94" s="6"/>
      <x:c r="G94" s="6"/>
      <x:c r="H94" s="6"/>
      <x:c r="I94" s="6"/>
      <x:c r="J94" s="6"/>
      <x:c r="K94" s="1"/>
      <x:c r="L94" s="9" t="str">
        <x:v>Added to peak annual cash deficit to address intra-year seasonality.</x:v>
      </x:c>
      <x:c r="M94" s="1"/>
    </x:row>
    <x:row r="95" ht="22" customHeight="1">
      <x:c r="A95" s="1"/>
      <x:c r="B95" s="1"/>
      <x:c r="C95" s="1" t="str">
        <x:v>Initial Patrick ownership</x:v>
      </x:c>
      <x:c r="D95" s="14" t="n">
        <x:v>0.7</x:v>
      </x:c>
      <x:c r="E95" s="6"/>
      <x:c r="F95" s="6"/>
      <x:c r="G95" s="6"/>
      <x:c r="H95" s="6"/>
      <x:c r="I95" s="6"/>
      <x:c r="J95" s="6"/>
      <x:c r="K95" s="1"/>
      <x:c r="L95" s="9" t="str">
        <x:v>Patrick instruction: 70% founder, 30% other owners before external dilution.</x:v>
      </x:c>
      <x:c r="M95" s="1"/>
    </x:row>
    <x:row r="96" ht="22" customHeight="1">
      <x:c r="A96" s="1"/>
      <x:c r="B96" s="1"/>
      <x:c r="C96" s="1" t="str">
        <x:v>Round 1 new investor stake</x:v>
      </x:c>
      <x:c r="D96" s="14" t="n">
        <x:v>0.2</x:v>
      </x:c>
      <x:c r="E96" s="6"/>
      <x:c r="F96" s="6"/>
      <x:c r="G96" s="6"/>
      <x:c r="H96" s="6"/>
      <x:c r="I96" s="6"/>
      <x:c r="J96" s="6"/>
      <x:c r="K96" s="1"/>
      <x:c r="L96" s="9" t="str">
        <x:v>Illustrative post-money equity issuance. No option pool or convertible instruments assumed.</x:v>
      </x:c>
      <x:c r="M96" s="1"/>
    </x:row>
    <x:row r="97" ht="22" customHeight="1">
      <x:c r="A97" s="1"/>
      <x:c r="B97" s="1"/>
      <x:c r="C97" s="1" t="str">
        <x:v>Round 2 new investor stake</x:v>
      </x:c>
      <x:c r="D97" s="14" t="n">
        <x:v>0.2</x:v>
      </x:c>
      <x:c r="E97" s="6"/>
      <x:c r="F97" s="6"/>
      <x:c r="G97" s="6"/>
      <x:c r="H97" s="6"/>
      <x:c r="I97" s="6"/>
      <x:c r="J97" s="6"/>
      <x:c r="K97" s="1"/>
      <x:c r="L97" s="9" t="str">
        <x:v>Dilution illustration only. Round 2 proceeds are not assumed in cash forecast.</x:v>
      </x:c>
      <x:c r="M97" s="1"/>
    </x:row>
    <x:row r="98" ht="22" customHeight="1">
      <x:c r="A98" s="1"/>
      <x:c r="B98" s="1"/>
      <x:c r="C98" s="1"/>
      <x:c r="D98" s="6"/>
      <x:c r="E98" s="6"/>
      <x:c r="F98" s="6"/>
      <x:c r="G98" s="6"/>
      <x:c r="H98" s="6"/>
      <x:c r="I98" s="6"/>
      <x:c r="J98" s="6"/>
      <x:c r="K98" s="1"/>
      <x:c r="L98" s="9"/>
      <x:c r="M98" s="1"/>
    </x:row>
    <x:row r="99" ht="22" customHeight="1">
      <x:c r="A99" s="1"/>
      <x:c r="B99" s="1"/>
      <x:c r="C99" s="1"/>
      <x:c r="D99" s="6"/>
      <x:c r="E99" s="6"/>
      <x:c r="F99" s="6"/>
      <x:c r="G99" s="6"/>
      <x:c r="H99" s="6"/>
      <x:c r="I99" s="6"/>
      <x:c r="J99" s="6"/>
      <x:c r="K99" s="1"/>
      <x:c r="L99" s="9"/>
      <x:c r="M99" s="1"/>
    </x:row>
    <x:row r="100" ht="22" customHeight="1">
      <x:c r="A100" s="1"/>
      <x:c r="B100" s="1"/>
      <x:c r="C100" s="31" t="str">
        <x:v>2027-2033 calendar-year forecast. No historical revenue, paying customer count, signed provider count or cash balance was supplied. Opening forecast balances are zero assumptions.</x:v>
      </x:c>
      <x:c r="D100" s="32"/>
      <x:c r="E100" s="32"/>
      <x:c r="F100" s="32"/>
      <x:c r="G100" s="32"/>
      <x:c r="H100" s="32"/>
      <x:c r="I100" s="32"/>
      <x:c r="J100" s="32"/>
      <x:c r="K100" s="1"/>
      <x:c r="L100" s="9"/>
      <x:c r="M100" s="1"/>
    </x:row>
    <x:row r="101" ht="22" customHeight="1">
      <x:c r="A101" s="1"/>
      <x:c r="B101" s="1"/>
      <x:c r="C101" s="31"/>
      <x:c r="D101" s="32"/>
      <x:c r="E101" s="32"/>
      <x:c r="F101" s="32"/>
      <x:c r="G101" s="32"/>
      <x:c r="H101" s="32"/>
      <x:c r="I101" s="32"/>
      <x:c r="J101" s="32"/>
      <x:c r="K101" s="1"/>
      <x:c r="L101" s="9"/>
      <x:c r="M101" s="1"/>
    </x:row>
    <x:row r="102" ht="22" customHeight="1">
      <x:c r="A102" s="1"/>
      <x:c r="B102" s="1"/>
      <x:c r="C102" s="1"/>
      <x:c r="D102" s="6"/>
      <x:c r="E102" s="6"/>
      <x:c r="F102" s="6"/>
      <x:c r="G102" s="6"/>
      <x:c r="H102" s="6"/>
      <x:c r="I102" s="6"/>
      <x:c r="J102" s="6"/>
      <x:c r="K102" s="1"/>
      <x:c r="L102" s="9"/>
      <x:c r="M102" s="1"/>
    </x:row>
    <x:row r="103" ht="22" customHeight="1">
      <x:c r="A103" s="1"/>
      <x:c r="B103" s="1"/>
      <x:c r="C103" s="31" t="str">
        <x:v>No subscription, specialist cross-sell, advertising, hiring commission, customer fee, tax/tip revenue or processor volume discount. All revenue is net marketplace fees, not GMV.</x:v>
      </x:c>
      <x:c r="D103" s="32"/>
      <x:c r="E103" s="32"/>
      <x:c r="F103" s="32"/>
      <x:c r="G103" s="32"/>
      <x:c r="H103" s="32"/>
      <x:c r="I103" s="32"/>
      <x:c r="J103" s="32"/>
      <x:c r="K103" s="1"/>
      <x:c r="L103" s="9"/>
      <x:c r="M103" s="1"/>
    </x:row>
    <x:row r="104" ht="22" customHeight="1">
      <x:c r="A104" s="1"/>
      <x:c r="B104" s="1"/>
      <x:c r="C104" s="31"/>
      <x:c r="D104" s="32"/>
      <x:c r="E104" s="32"/>
      <x:c r="F104" s="32"/>
      <x:c r="G104" s="32"/>
      <x:c r="H104" s="32"/>
      <x:c r="I104" s="32"/>
      <x:c r="J104" s="32"/>
      <x:c r="K104" s="1"/>
      <x:c r="L104" s="9"/>
      <x:c r="M104" s="1"/>
    </x:row>
    <x:row r="105" ht="22" customHeight="1">
      <x:c r="A105" s="1"/>
      <x:c r="B105" s="1"/>
      <x:c r="C105" s="1"/>
      <x:c r="D105" s="6"/>
      <x:c r="E105" s="6"/>
      <x:c r="F105" s="6"/>
      <x:c r="G105" s="6"/>
      <x:c r="H105" s="6"/>
      <x:c r="I105" s="6"/>
      <x:c r="J105" s="6"/>
      <x:c r="K105" s="1"/>
      <x:c r="L105" s="9"/>
      <x:c r="M105" s="1"/>
    </x:row>
    <x:row r="106" ht="22" customHeight="1">
      <x:c r="A106" s="1"/>
      <x:c r="B106" s="1"/>
      <x:c r="C106" s="31" t="str">
        <x:v>Change D3 to switch cases. The same operating model recalculates all outputs. Deck scenarios are dated exports of this model and do not update automatically.</x:v>
      </x:c>
      <x:c r="D106" s="32"/>
      <x:c r="E106" s="32"/>
      <x:c r="F106" s="32"/>
      <x:c r="G106" s="32"/>
      <x:c r="H106" s="32"/>
      <x:c r="I106" s="32"/>
      <x:c r="J106" s="32"/>
      <x:c r="K106" s="1"/>
      <x:c r="L106" s="9"/>
      <x:c r="M106" s="1"/>
    </x:row>
    <x:row r="107" ht="22" customHeight="1">
      <x:c r="A107" s="1"/>
      <x:c r="B107" s="1"/>
      <x:c r="C107" s="31"/>
      <x:c r="D107" s="32"/>
      <x:c r="E107" s="32"/>
      <x:c r="F107" s="32"/>
      <x:c r="G107" s="32"/>
      <x:c r="H107" s="32"/>
      <x:c r="I107" s="32"/>
      <x:c r="J107" s="32"/>
      <x:c r="K107" s="1"/>
      <x:c r="L107" s="9"/>
      <x:c r="M107" s="1"/>
    </x:row>
    <x:row r="108" ht="22" customHeight="1">
      <x:c r="A108" s="1"/>
      <x:c r="B108" s="1"/>
      <x:c r="C108" s="1"/>
      <x:c r="D108" s="6"/>
      <x:c r="E108" s="6"/>
      <x:c r="F108" s="6"/>
      <x:c r="G108" s="6"/>
      <x:c r="H108" s="6"/>
      <x:c r="I108" s="6"/>
      <x:c r="J108" s="6"/>
      <x:c r="K108" s="1"/>
      <x:c r="L108" s="9"/>
      <x:c r="M108" s="1"/>
    </x:row>
    <x:row r="109" ht="22" customHeight="1">
      <x:c r="A109" s="1"/>
      <x:c r="B109" s="1"/>
      <x:c r="C109" s="31" t="str">
        <x:v>Cash analysis excludes existing company cash/debt, financing beyond illustrative round 1 and liquidation preferences. Actual monthly runway requires a hiring and collection calendar.</x:v>
      </x:c>
      <x:c r="D109" s="32"/>
      <x:c r="E109" s="32"/>
      <x:c r="F109" s="32"/>
      <x:c r="G109" s="32"/>
      <x:c r="H109" s="32"/>
      <x:c r="I109" s="32"/>
      <x:c r="J109" s="32"/>
      <x:c r="K109" s="1"/>
      <x:c r="L109" s="9"/>
      <x:c r="M109" s="1"/>
    </x:row>
    <x:row r="110" ht="22" customHeight="1">
      <x:c r="A110" s="1"/>
      <x:c r="B110" s="1"/>
      <x:c r="C110" s="31"/>
      <x:c r="D110" s="32"/>
      <x:c r="E110" s="32"/>
      <x:c r="F110" s="32"/>
      <x:c r="G110" s="32"/>
      <x:c r="H110" s="32"/>
      <x:c r="I110" s="32"/>
      <x:c r="J110" s="32"/>
      <x:c r="K110" s="1"/>
      <x:c r="L110" s="9"/>
      <x:c r="M110" s="1"/>
    </x:row>
    <x:row r="111" ht="22" customHeight="1">
      <x:c r="A111" s="1"/>
      <x:c r="B111" s="1"/>
      <x:c r="C111" s="1"/>
      <x:c r="D111" s="6"/>
      <x:c r="E111" s="6"/>
      <x:c r="F111" s="6"/>
      <x:c r="G111" s="6"/>
      <x:c r="H111" s="6"/>
      <x:c r="I111" s="6"/>
      <x:c r="J111" s="6"/>
      <x:c r="K111" s="1"/>
      <x:c r="L111" s="9"/>
      <x:c r="M111" s="1"/>
    </x:row>
    <x:row r="112" ht="22" customHeight="1">
      <x:c r="A112" s="1"/>
      <x:c r="B112" s="1"/>
      <x:c r="C112" s="1"/>
      <x:c r="D112" s="6"/>
      <x:c r="E112" s="6"/>
      <x:c r="F112" s="6"/>
      <x:c r="G112" s="6"/>
      <x:c r="H112" s="6"/>
      <x:c r="I112" s="6"/>
      <x:c r="J112" s="6"/>
      <x:c r="K112" s="1"/>
      <x:c r="L112" s="9"/>
      <x:c r="M112" s="1"/>
    </x:row>
    <x:row r="113" ht="22" customHeight="1">
      <x:c r="A113" s="1"/>
      <x:c r="B113" s="1"/>
      <x:c r="C113" s="1"/>
      <x:c r="D113" s="6"/>
      <x:c r="E113" s="6"/>
      <x:c r="F113" s="6"/>
      <x:c r="G113" s="6"/>
      <x:c r="H113" s="6"/>
      <x:c r="I113" s="6"/>
      <x:c r="J113" s="6"/>
      <x:c r="K113" s="1"/>
      <x:c r="L113" s="9"/>
      <x:c r="M113" s="1"/>
    </x:row>
    <x:row r="114" ht="22" customHeight="1">
      <x:c r="A114" s="1"/>
      <x:c r="B114" s="1"/>
      <x:c r="C114" s="1"/>
      <x:c r="D114" s="6"/>
      <x:c r="E114" s="6"/>
      <x:c r="F114" s="6"/>
      <x:c r="G114" s="6"/>
      <x:c r="H114" s="6"/>
      <x:c r="I114" s="6"/>
      <x:c r="J114" s="6"/>
      <x:c r="K114" s="1"/>
      <x:c r="L114" s="9"/>
      <x:c r="M114" s="1"/>
    </x:row>
    <x:row r="115" ht="22" customHeight="1">
      <x:c r="A115" s="1"/>
      <x:c r="B115" s="1"/>
      <x:c r="C115" s="1"/>
      <x:c r="D115" s="6"/>
      <x:c r="E115" s="6"/>
      <x:c r="F115" s="6"/>
      <x:c r="G115" s="6"/>
      <x:c r="H115" s="6"/>
      <x:c r="I115" s="6"/>
      <x:c r="J115" s="6"/>
      <x:c r="K115" s="1"/>
      <x:c r="L115" s="9"/>
      <x:c r="M115" s="1"/>
    </x:row>
    <x:row r="116" ht="22" customHeight="1">
      <x:c r="A116" s="1"/>
      <x:c r="B116" s="1"/>
      <x:c r="C116" s="1"/>
      <x:c r="D116" s="6"/>
      <x:c r="E116" s="6"/>
      <x:c r="F116" s="6"/>
      <x:c r="G116" s="6"/>
      <x:c r="H116" s="6"/>
      <x:c r="I116" s="6"/>
      <x:c r="J116" s="6"/>
      <x:c r="K116" s="1"/>
      <x:c r="L116" s="9"/>
      <x:c r="M116" s="1"/>
    </x:row>
    <x:row r="117" ht="22" customHeight="1">
      <x:c r="A117" s="1"/>
      <x:c r="B117" s="1"/>
      <x:c r="C117" s="1"/>
      <x:c r="D117" s="6"/>
      <x:c r="E117" s="6"/>
      <x:c r="F117" s="6"/>
      <x:c r="G117" s="6"/>
      <x:c r="H117" s="6"/>
      <x:c r="I117" s="6"/>
      <x:c r="J117" s="6"/>
      <x:c r="K117" s="1"/>
      <x:c r="L117" s="9"/>
      <x:c r="M117" s="1"/>
    </x:row>
    <x:row r="118" ht="22" customHeight="1">
      <x:c r="A118" s="1"/>
      <x:c r="B118" s="1"/>
      <x:c r="C118" s="1"/>
      <x:c r="D118" s="6"/>
      <x:c r="E118" s="6"/>
      <x:c r="F118" s="6"/>
      <x:c r="G118" s="6"/>
      <x:c r="H118" s="6"/>
      <x:c r="I118" s="6"/>
      <x:c r="J118" s="6"/>
      <x:c r="K118" s="1"/>
      <x:c r="L118" s="9"/>
      <x:c r="M118" s="1"/>
    </x:row>
    <x:row r="119" ht="22" customHeight="1">
      <x:c r="A119" s="1"/>
      <x:c r="B119" s="1"/>
      <x:c r="C119" s="1"/>
      <x:c r="D119" s="6"/>
      <x:c r="E119" s="6"/>
      <x:c r="F119" s="6"/>
      <x:c r="G119" s="6"/>
      <x:c r="H119" s="6"/>
      <x:c r="I119" s="6"/>
      <x:c r="J119" s="6"/>
      <x:c r="K119" s="1"/>
      <x:c r="L119" s="9"/>
      <x:c r="M119" s="1"/>
    </x:row>
    <x:row r="120" ht="22" customHeight="1">
      <x:c r="A120" s="1"/>
      <x:c r="B120" s="1"/>
      <x:c r="C120" s="1"/>
      <x:c r="D120" s="6"/>
      <x:c r="E120" s="6"/>
      <x:c r="F120" s="6"/>
      <x:c r="G120" s="6"/>
      <x:c r="H120" s="6"/>
      <x:c r="I120" s="6"/>
      <x:c r="J120" s="6"/>
      <x:c r="K120" s="1"/>
      <x:c r="L120" s="9"/>
      <x:c r="M120" s="1"/>
    </x:row>
    <x:row r="121" ht="22" customHeight="1">
      <x:c r="A121" s="1"/>
      <x:c r="B121" s="1"/>
      <x:c r="C121" s="1"/>
      <x:c r="D121" s="6"/>
      <x:c r="E121" s="6"/>
      <x:c r="F121" s="6"/>
      <x:c r="G121" s="6"/>
      <x:c r="H121" s="6"/>
      <x:c r="I121" s="6"/>
      <x:c r="J121" s="6"/>
      <x:c r="K121" s="1"/>
      <x:c r="L121" s="9"/>
      <x:c r="M121" s="1"/>
    </x:row>
    <x:row r="122" ht="22" customHeight="1">
      <x:c r="A122" s="1"/>
      <x:c r="B122" s="1"/>
      <x:c r="C122" s="1"/>
      <x:c r="D122" s="6"/>
      <x:c r="E122" s="6"/>
      <x:c r="F122" s="6"/>
      <x:c r="G122" s="6"/>
      <x:c r="H122" s="6"/>
      <x:c r="I122" s="6"/>
      <x:c r="J122" s="6"/>
      <x:c r="K122" s="1"/>
      <x:c r="L122" s="9"/>
      <x:c r="M122" s="1"/>
    </x:row>
    <x:row r="123" ht="22" customHeight="1">
      <x:c r="A123" s="1"/>
      <x:c r="B123" s="1"/>
      <x:c r="C123" s="1"/>
      <x:c r="D123" s="6"/>
      <x:c r="E123" s="6"/>
      <x:c r="F123" s="6"/>
      <x:c r="G123" s="6"/>
      <x:c r="H123" s="6"/>
      <x:c r="I123" s="6"/>
      <x:c r="J123" s="6"/>
      <x:c r="K123" s="1"/>
      <x:c r="L123" s="9"/>
      <x:c r="M123" s="1"/>
    </x:row>
    <x:row r="124" ht="22" customHeight="1">
      <x:c r="A124" s="1"/>
      <x:c r="B124" s="1"/>
      <x:c r="C124" s="1"/>
      <x:c r="D124" s="6"/>
      <x:c r="E124" s="6"/>
      <x:c r="F124" s="6"/>
      <x:c r="G124" s="6"/>
      <x:c r="H124" s="6"/>
      <x:c r="I124" s="6"/>
      <x:c r="J124" s="6"/>
      <x:c r="K124" s="1"/>
      <x:c r="L124" s="9"/>
      <x:c r="M124" s="1"/>
    </x:row>
    <x:row r="125" ht="22" customHeight="1">
      <x:c r="A125" s="1"/>
      <x:c r="B125" s="1"/>
      <x:c r="C125" s="1"/>
      <x:c r="D125" s="6"/>
      <x:c r="E125" s="6"/>
      <x:c r="F125" s="6"/>
      <x:c r="G125" s="6"/>
      <x:c r="H125" s="6"/>
      <x:c r="I125" s="6"/>
      <x:c r="J125" s="6"/>
      <x:c r="K125" s="1"/>
      <x:c r="L125" s="9"/>
      <x:c r="M125" s="1"/>
    </x:row>
    <x:row r="126" ht="22" customHeight="1">
      <x:c r="A126" s="1"/>
      <x:c r="B126" s="1"/>
      <x:c r="C126" s="1"/>
      <x:c r="D126" s="6"/>
      <x:c r="E126" s="6"/>
      <x:c r="F126" s="6"/>
      <x:c r="G126" s="6"/>
      <x:c r="H126" s="6"/>
      <x:c r="I126" s="6"/>
      <x:c r="J126" s="6"/>
      <x:c r="K126" s="1"/>
      <x:c r="L126" s="9"/>
      <x:c r="M126" s="1"/>
    </x:row>
    <x:row r="127" ht="22" customHeight="1">
      <x:c r="A127" s="1"/>
      <x:c r="B127" s="1"/>
      <x:c r="C127" s="1"/>
      <x:c r="D127" s="6"/>
      <x:c r="E127" s="6"/>
      <x:c r="F127" s="6"/>
      <x:c r="G127" s="6"/>
      <x:c r="H127" s="6"/>
      <x:c r="I127" s="6"/>
      <x:c r="J127" s="6"/>
      <x:c r="K127" s="1"/>
      <x:c r="L127" s="9"/>
      <x:c r="M127" s="1"/>
    </x:row>
    <x:row r="128" ht="22" customHeight="1">
      <x:c r="A128" s="1"/>
      <x:c r="B128" s="1"/>
      <x:c r="C128" s="1"/>
      <x:c r="D128" s="6"/>
      <x:c r="E128" s="6"/>
      <x:c r="F128" s="6"/>
      <x:c r="G128" s="6"/>
      <x:c r="H128" s="6"/>
      <x:c r="I128" s="6"/>
      <x:c r="J128" s="6"/>
      <x:c r="K128" s="1"/>
      <x:c r="L128" s="9"/>
      <x:c r="M128" s="1"/>
    </x:row>
    <x:row r="129" ht="22" customHeight="1">
      <x:c r="A129" s="1"/>
      <x:c r="B129" s="1"/>
      <x:c r="C129" s="1"/>
      <x:c r="D129" s="6"/>
      <x:c r="E129" s="6"/>
      <x:c r="F129" s="6"/>
      <x:c r="G129" s="6"/>
      <x:c r="H129" s="6"/>
      <x:c r="I129" s="6"/>
      <x:c r="J129" s="6"/>
      <x:c r="K129" s="1"/>
      <x:c r="L129" s="9"/>
      <x:c r="M129" s="1"/>
    </x:row>
    <x:row r="130" ht="22" customHeight="1">
      <x:c r="A130" s="1"/>
      <x:c r="B130" s="1"/>
      <x:c r="C130" s="1"/>
      <x:c r="D130" s="6"/>
      <x:c r="E130" s="6"/>
      <x:c r="F130" s="6"/>
      <x:c r="G130" s="6"/>
      <x:c r="H130" s="6"/>
      <x:c r="I130" s="6"/>
      <x:c r="J130" s="6"/>
      <x:c r="K130" s="1"/>
      <x:c r="L130" s="9"/>
      <x:c r="M130" s="1"/>
    </x:row>
    <x:row r="131" ht="22" customHeight="1">
      <x:c r="A131" s="1"/>
      <x:c r="B131" s="1"/>
      <x:c r="C131" s="1"/>
      <x:c r="D131" s="6"/>
      <x:c r="E131" s="6"/>
      <x:c r="F131" s="6"/>
      <x:c r="G131" s="6"/>
      <x:c r="H131" s="6"/>
      <x:c r="I131" s="6"/>
      <x:c r="J131" s="6"/>
      <x:c r="K131" s="1"/>
      <x:c r="L131" s="9"/>
      <x:c r="M131" s="1"/>
    </x:row>
    <x:row r="132" ht="22" customHeight="1">
      <x:c r="A132" s="1"/>
      <x:c r="B132" s="1"/>
      <x:c r="C132" s="1"/>
      <x:c r="D132" s="6"/>
      <x:c r="E132" s="6"/>
      <x:c r="F132" s="6"/>
      <x:c r="G132" s="6"/>
      <x:c r="H132" s="6"/>
      <x:c r="I132" s="6"/>
      <x:c r="J132" s="6"/>
      <x:c r="K132" s="1"/>
      <x:c r="L132" s="9"/>
      <x:c r="M132" s="1"/>
    </x:row>
    <x:row r="133" ht="22" customHeight="1">
      <x:c r="A133" s="1"/>
      <x:c r="B133" s="1"/>
      <x:c r="C133" s="1"/>
      <x:c r="D133" s="6"/>
      <x:c r="E133" s="6"/>
      <x:c r="F133" s="6"/>
      <x:c r="G133" s="6"/>
      <x:c r="H133" s="6"/>
      <x:c r="I133" s="6"/>
      <x:c r="J133" s="6"/>
      <x:c r="K133" s="1"/>
      <x:c r="L133" s="9"/>
      <x:c r="M133" s="1"/>
    </x:row>
    <x:row r="134" ht="22" customHeight="1">
      <x:c r="A134" s="1"/>
      <x:c r="B134" s="1"/>
      <x:c r="C134" s="1"/>
      <x:c r="D134" s="6"/>
      <x:c r="E134" s="6"/>
      <x:c r="F134" s="6"/>
      <x:c r="G134" s="6"/>
      <x:c r="H134" s="6"/>
      <x:c r="I134" s="6"/>
      <x:c r="J134" s="6"/>
      <x:c r="K134" s="1"/>
      <x:c r="L134" s="9"/>
      <x:c r="M134" s="1"/>
    </x:row>
    <x:row r="135" ht="22" customHeight="1">
      <x:c r="A135" s="1"/>
      <x:c r="B135" s="1"/>
      <x:c r="C135" s="1"/>
      <x:c r="D135" s="6"/>
      <x:c r="E135" s="6"/>
      <x:c r="F135" s="6"/>
      <x:c r="G135" s="6"/>
      <x:c r="H135" s="6"/>
      <x:c r="I135" s="6"/>
      <x:c r="J135" s="6"/>
      <x:c r="K135" s="1"/>
      <x:c r="L135" s="9"/>
      <x:c r="M135" s="1"/>
    </x:row>
    <x:row r="136" ht="22" customHeight="1">
      <x:c r="A136" s="1"/>
      <x:c r="B136" s="1"/>
      <x:c r="C136" s="1"/>
      <x:c r="D136" s="6"/>
      <x:c r="E136" s="6"/>
      <x:c r="F136" s="6"/>
      <x:c r="G136" s="6"/>
      <x:c r="H136" s="6"/>
      <x:c r="I136" s="6"/>
      <x:c r="J136" s="6"/>
      <x:c r="K136" s="1"/>
      <x:c r="L136" s="1"/>
      <x:c r="M136" s="1"/>
    </x:row>
    <x:row r="137" ht="22" customHeight="1">
      <x:c r="A137" s="1"/>
      <x:c r="B137" s="1"/>
      <x:c r="C137" s="1"/>
      <x:c r="D137" s="6"/>
      <x:c r="E137" s="6"/>
      <x:c r="F137" s="6"/>
      <x:c r="G137" s="6"/>
      <x:c r="H137" s="6"/>
      <x:c r="I137" s="6"/>
      <x:c r="J137" s="6"/>
      <x:c r="K137" s="1"/>
      <x:c r="L137" s="1"/>
      <x:c r="M137" s="1"/>
    </x:row>
    <x:row r="138" ht="22" customHeight="1">
      <x:c r="A138" s="1"/>
      <x:c r="B138" s="1"/>
      <x:c r="C138" s="1"/>
      <x:c r="D138" s="6"/>
      <x:c r="E138" s="6"/>
      <x:c r="F138" s="6"/>
      <x:c r="G138" s="6"/>
      <x:c r="H138" s="6"/>
      <x:c r="I138" s="6"/>
      <x:c r="J138" s="6"/>
      <x:c r="K138" s="1"/>
      <x:c r="L138" s="1"/>
      <x:c r="M138" s="1"/>
    </x:row>
    <x:row r="139" ht="22" customHeight="1">
      <x:c r="A139" s="1"/>
      <x:c r="B139" s="1"/>
      <x:c r="C139" s="1"/>
      <x:c r="D139" s="6"/>
      <x:c r="E139" s="6"/>
      <x:c r="F139" s="6"/>
      <x:c r="G139" s="6"/>
      <x:c r="H139" s="6"/>
      <x:c r="I139" s="6"/>
      <x:c r="J139" s="6"/>
      <x:c r="K139" s="1"/>
      <x:c r="L139" s="1"/>
      <x:c r="M139" s="1"/>
    </x:row>
    <x:row r="140" ht="22" customHeight="1">
      <x:c r="A140" s="1"/>
      <x:c r="B140" s="1"/>
      <x:c r="C140" s="1"/>
      <x:c r="D140" s="6"/>
      <x:c r="E140" s="6"/>
      <x:c r="F140" s="6"/>
      <x:c r="G140" s="6"/>
      <x:c r="H140" s="6"/>
      <x:c r="I140" s="6"/>
      <x:c r="J140" s="6"/>
      <x:c r="K140" s="1"/>
      <x:c r="L140" s="1"/>
      <x:c r="M140" s="1"/>
    </x:row>
  </x:sheetData>
  <x:mergeCells>
    <x:mergeCell ref="C100:J101"/>
    <x:mergeCell ref="C103:J104"/>
    <x:mergeCell ref="C106:J107"/>
    <x:mergeCell ref="C109:J110"/>
  </x:mergeCells>
  <x:dataValidations count="1">
    <x:dataValidation type="list" sqref="D3">
      <x:formula1>"Downside,Base,Upside"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59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78" hidden="0" customWidth="1"/>
  </x:cols>
  <x:sheetData>
    <x:row r="1" ht="22" customHeight="1">
      <x:c r="A1" s="1"/>
      <x:c r="B1" s="1"/>
      <x:c r="C1"/>
      <x:c r="D1"/>
      <x:c r="E1"/>
      <x:c r="F1"/>
      <x:c r="G1"/>
      <x:c r="H1"/>
      <x:c r="I1"/>
      <x:c r="J1"/>
      <x:c r="K1" s="1"/>
      <x:c r="L1" s="1"/>
      <x:c r="M1" s="1"/>
    </x:row>
    <x:row r="2" ht="22" customHeight="1">
      <x:c r="A2" s="1"/>
      <x:c r="B2" s="1"/>
      <x:c r="C2" s="48" t="str">
        <x:v>YardMatch - Operating forecast</x:v>
      </x:c>
      <x:c r="D2"/>
      <x:c r="E2"/>
      <x:c r="F2"/>
      <x:c r="G2"/>
      <x:c r="H2"/>
      <x:c r="I2"/>
      <x:c r="J2"/>
      <x:c r="K2" s="1"/>
      <x:c r="L2" s="1"/>
      <x:c r="M2" s="1"/>
    </x:row>
    <x:row r="3" ht="22" customHeight="1">
      <x:c r="A3" s="1"/>
      <x:c r="B3" s="1"/>
      <x:c r="C3" s="1" t="str">
        <x:v>Active case</x:v>
      </x:c>
      <x:c r="D3" s="33" t="str">
        <x:f>'Assumptions'!D3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"/>
      <x:c r="B5" s="1"/>
      <x:c r="C5" s="49"/>
      <x:c r="D5" s="49" t="n">
        <x:v>2027</x:v>
      </x:c>
      <x:c r="E5" s="49" t="n">
        <x:v>2028</x:v>
      </x:c>
      <x:c r="F5" s="49" t="n">
        <x:v>2029</x:v>
      </x:c>
      <x:c r="G5" s="49" t="n">
        <x:v>2030</x:v>
      </x:c>
      <x:c r="H5" s="49" t="n">
        <x:v>2031</x:v>
      </x:c>
      <x:c r="I5" s="49" t="n">
        <x:v>2032</x:v>
      </x:c>
      <x:c r="J5" s="49" t="n">
        <x:v>2033</x:v>
      </x:c>
      <x:c r="K5" s="1"/>
      <x:c r="L5" s="1"/>
      <x:c r="M5" s="1"/>
    </x:row>
    <x:row r="6" ht="22" customHeight="1">
      <x:c r="A6" s="1"/>
      <x:c r="B6" s="1"/>
      <x:c r="C6" s="1" t="str">
        <x:v>Opening paying households</x:v>
      </x:c>
      <x:c r="D6" s="10" t="n">
        <x:f>0</x:f>
        <x:v>0</x:v>
      </x:c>
      <x:c r="E6" s="10" t="n">
        <x:f>D10</x:f>
        <x:v>500</x:v>
      </x:c>
      <x:c r="F6" s="10" t="n">
        <x:f>E10</x:f>
        <x:v>2850</x:v>
      </x:c>
      <x:c r="G6" s="10" t="n">
        <x:f>F10</x:f>
        <x:v>11137.5</x:v>
      </x:c>
      <x:c r="H6" s="10" t="n">
        <x:f>G10</x:f>
        <x:v>33687.25</x:v>
      </x:c>
      <x:c r="I6" s="10" t="n">
        <x:f>H10</x:f>
        <x:v>81949.8</x:v>
      </x:c>
      <x:c r="J6" s="10" t="n">
        <x:f>I10</x:f>
        <x:v>165559.84000000003</x:v>
      </x:c>
      <x:c r="K6" s="1"/>
      <x:c r="L6" s="1"/>
      <x:c r="M6" s="1"/>
    </x:row>
    <x:row r="7" ht="22" customHeight="1">
      <x:c r="A7" s="1"/>
      <x:c r="B7" s="1"/>
      <x:c r="C7" s="1" t="str">
        <x:v>New paying households</x:v>
      </x:c>
      <x:c r="D7" s="34" t="n">
        <x:f>'Assumptions'!D7</x:f>
        <x:v>500</x:v>
      </x:c>
      <x:c r="E7" s="34" t="n">
        <x:f>'Assumptions'!E7</x:f>
        <x:v>2500</x:v>
      </x:c>
      <x:c r="F7" s="34" t="n">
        <x:f>'Assumptions'!F7</x:f>
        <x:v>9000</x:v>
      </x:c>
      <x:c r="G7" s="34" t="n">
        <x:f>'Assumptions'!G7</x:f>
        <x:v>25000</x:v>
      </x:c>
      <x:c r="H7" s="34" t="n">
        <x:f>'Assumptions'!H7</x:f>
        <x:v>55000</x:v>
      </x:c>
      <x:c r="I7" s="34" t="n">
        <x:f>'Assumptions'!I7</x:f>
        <x:v>100000</x:v>
      </x:c>
      <x:c r="J7" s="34" t="n">
        <x:f>'Assumptions'!J7</x:f>
        <x:v>160000</x:v>
      </x:c>
      <x:c r="K7" s="1"/>
      <x:c r="L7" s="1"/>
      <x:c r="M7" s="1"/>
    </x:row>
    <x:row r="8" ht="22" customHeight="1">
      <x:c r="A8" s="1"/>
      <x:c r="B8" s="1"/>
      <x:c r="C8" s="1" t="str">
        <x:v>Retained households</x:v>
      </x:c>
      <x:c r="D8" s="34" t="n">
        <x:f>D6*'Assumptions'!D12</x:f>
        <x:v>0</x:v>
      </x:c>
      <x:c r="E8" s="34" t="n">
        <x:f>E6*'Assumptions'!E12</x:f>
        <x:v>350</x:v>
      </x:c>
      <x:c r="F8" s="34" t="n">
        <x:f>F6*'Assumptions'!F12</x:f>
        <x:v>2137.5</x:v>
      </x:c>
      <x:c r="G8" s="34" t="n">
        <x:f>G6*'Assumptions'!G12</x:f>
        <x:v>8687.25</x:v>
      </x:c>
      <x:c r="H8" s="34" t="n">
        <x:f>H6*'Assumptions'!H12</x:f>
        <x:v>26949.800000000003</x:v>
      </x:c>
      <x:c r="I8" s="34" t="n">
        <x:f>I6*'Assumptions'!I12</x:f>
        <x:v>65559.84000000001</x:v>
      </x:c>
      <x:c r="J8" s="34" t="n">
        <x:f>J6*'Assumptions'!J12</x:f>
        <x:v>132447.87200000003</x:v>
      </x:c>
      <x:c r="K8" s="1"/>
      <x:c r="L8" s="1"/>
      <x:c r="M8" s="1"/>
    </x:row>
    <x:row r="9" ht="22" customHeight="1">
      <x:c r="A9" s="1"/>
      <x:c r="B9" s="1"/>
      <x:c r="C9" s="1" t="str">
        <x:v>Churned households</x:v>
      </x:c>
      <x:c r="D9" s="10" t="n">
        <x:f>D6-D8</x:f>
        <x:v>0</x:v>
      </x:c>
      <x:c r="E9" s="10" t="n">
        <x:f>E6-E8</x:f>
        <x:v>150</x:v>
      </x:c>
      <x:c r="F9" s="10" t="n">
        <x:f>F6-F8</x:f>
        <x:v>712.5</x:v>
      </x:c>
      <x:c r="G9" s="10" t="n">
        <x:f>G6-G8</x:f>
        <x:v>2450.25</x:v>
      </x:c>
      <x:c r="H9" s="10" t="n">
        <x:f>H6-H8</x:f>
        <x:v>6737.449999999997</x:v>
      </x:c>
      <x:c r="I9" s="10" t="n">
        <x:f>I6-I8</x:f>
        <x:v>16389.959999999992</x:v>
      </x:c>
      <x:c r="J9" s="10" t="n">
        <x:f>J6-J8</x:f>
        <x:v>33111.96799999999</x:v>
      </x:c>
      <x:c r="K9" s="1"/>
      <x:c r="L9" s="1"/>
      <x:c r="M9" s="1"/>
    </x:row>
    <x:row r="10" ht="22" customHeight="1">
      <x:c r="A10" s="1"/>
      <x:c r="B10" s="1"/>
      <x:c r="C10" s="4" t="str">
        <x:v>Ending paying households</x:v>
      </x:c>
      <x:c r="D10" s="12" t="n">
        <x:f>SUM(D7:D8)</x:f>
        <x:v>500</x:v>
      </x:c>
      <x:c r="E10" s="12" t="n">
        <x:f>SUM(E7:E8)</x:f>
        <x:v>2850</x:v>
      </x:c>
      <x:c r="F10" s="12" t="n">
        <x:f>SUM(F7:F8)</x:f>
        <x:v>11137.5</x:v>
      </x:c>
      <x:c r="G10" s="12" t="n">
        <x:f>SUM(G7:G8)</x:f>
        <x:v>33687.25</x:v>
      </x:c>
      <x:c r="H10" s="12" t="n">
        <x:f>SUM(H7:H8)</x:f>
        <x:v>81949.8</x:v>
      </x:c>
      <x:c r="I10" s="12" t="n">
        <x:f>SUM(I7:I8)</x:f>
        <x:v>165559.84000000003</x:v>
      </x:c>
      <x:c r="J10" s="12" t="n">
        <x:f>SUM(J7:J8)</x:f>
        <x:v>292447.87200000003</x:v>
      </x:c>
      <x:c r="K10" s="1"/>
      <x:c r="L10" s="1"/>
      <x:c r="M10" s="1"/>
    </x:row>
    <x:row r="11" ht="22" customHeight="1">
      <x:c r="A11" s="1"/>
      <x:c r="B11" s="1"/>
      <x:c r="C11" s="1" t="str">
        <x:v>Full-season equivalent households</x:v>
      </x:c>
      <x:c r="D11" s="34" t="n">
        <x:f>D8+D7*'Assumptions'!$D$71</x:f>
        <x:v>250</x:v>
      </x:c>
      <x:c r="E11" s="34" t="n">
        <x:f>E8+E7*'Assumptions'!$D$71</x:f>
        <x:v>1600</x:v>
      </x:c>
      <x:c r="F11" s="34" t="n">
        <x:f>F8+F7*'Assumptions'!$D$71</x:f>
        <x:v>6637.5</x:v>
      </x:c>
      <x:c r="G11" s="34" t="n">
        <x:f>G8+G7*'Assumptions'!$D$71</x:f>
        <x:v>21187.25</x:v>
      </x:c>
      <x:c r="H11" s="34" t="n">
        <x:f>H8+H7*'Assumptions'!$D$71</x:f>
        <x:v>54449.8</x:v>
      </x:c>
      <x:c r="I11" s="34" t="n">
        <x:f>I8+I7*'Assumptions'!$D$71</x:f>
        <x:v>115559.84000000001</x:v>
      </x:c>
      <x:c r="J11" s="34" t="n">
        <x:f>J8+J7*'Assumptions'!$D$71</x:f>
        <x:v>212447.87200000003</x:v>
      </x:c>
      <x:c r="K11" s="1"/>
      <x:c r="L11" s="1"/>
      <x:c r="M11" s="1"/>
    </x:row>
    <x:row r="12" ht="22" customHeight="1">
      <x:c r="A12" s="1"/>
      <x:c r="B12" s="1"/>
      <x:c r="C12" s="1" t="str">
        <x:v>Scheduled visits</x:v>
      </x:c>
      <x:c r="D12" s="34" t="n">
        <x:f>D11*'Assumptions'!D17</x:f>
        <x:v>5000</x:v>
      </x:c>
      <x:c r="E12" s="34" t="n">
        <x:f>E11*'Assumptions'!E17</x:f>
        <x:v>32000</x:v>
      </x:c>
      <x:c r="F12" s="34" t="n">
        <x:f>F11*'Assumptions'!F17</x:f>
        <x:v>132750</x:v>
      </x:c>
      <x:c r="G12" s="34" t="n">
        <x:f>G11*'Assumptions'!G17</x:f>
        <x:v>423745</x:v>
      </x:c>
      <x:c r="H12" s="34" t="n">
        <x:f>H11*'Assumptions'!H17</x:f>
        <x:v>1088996</x:v>
      </x:c>
      <x:c r="I12" s="34" t="n">
        <x:f>I11*'Assumptions'!I17</x:f>
        <x:v>2311196.8000000003</x:v>
      </x:c>
      <x:c r="J12" s="34" t="n">
        <x:f>J11*'Assumptions'!J17</x:f>
        <x:v>4248957.44</x:v>
      </x:c>
      <x:c r="K12" s="1"/>
      <x:c r="L12" s="1"/>
      <x:c r="M12" s="1"/>
    </x:row>
    <x:row r="13" ht="22" customHeight="1">
      <x:c r="A13" s="1"/>
      <x:c r="B13" s="1"/>
      <x:c r="C13" s="1" t="str">
        <x:v>Paid completed jobs on platform</x:v>
      </x:c>
      <x:c r="D13" s="34" t="n">
        <x:f>D12*'Assumptions'!D22*'Assumptions'!D27</x:f>
        <x:v>4275</x:v>
      </x:c>
      <x:c r="E13" s="34" t="n">
        <x:f>E12*'Assumptions'!E22*'Assumptions'!E27</x:f>
        <x:v>27360</x:v>
      </x:c>
      <x:c r="F13" s="34" t="n">
        <x:f>F12*'Assumptions'!F22*'Assumptions'!F27</x:f>
        <x:v>113501.25</x:v>
      </x:c>
      <x:c r="G13" s="34" t="n">
        <x:f>G12*'Assumptions'!G22*'Assumptions'!G27</x:f>
        <x:v>362301.975</x:v>
      </x:c>
      <x:c r="H13" s="34" t="n">
        <x:f>H12*'Assumptions'!H22*'Assumptions'!H27</x:f>
        <x:v>931091.58</x:v>
      </x:c>
      <x:c r="I13" s="34" t="n">
        <x:f>I12*'Assumptions'!I22*'Assumptions'!I27</x:f>
        <x:v>1976073.2640000002</x:v>
      </x:c>
      <x:c r="J13" s="34" t="n">
        <x:f>J12*'Assumptions'!J22*'Assumptions'!J27</x:f>
        <x:v>3632858.6112</x:v>
      </x:c>
      <x:c r="K13" s="1"/>
      <x:c r="L13" s="1"/>
      <x:c r="M13" s="1"/>
    </x:row>
    <x:row r="14" ht="22" customHeight="1">
      <x:c r="A14" s="1"/>
      <x:c r="B14" s="1"/>
      <x:c r="C14" s="1" t="str">
        <x:v>Service GMV</x:v>
      </x:c>
      <x:c r="D14" s="35" t="n">
        <x:f>D13*'Assumptions'!D32</x:f>
        <x:v>256500</x:v>
      </x:c>
      <x:c r="E14" s="35" t="n">
        <x:f>E13*'Assumptions'!E32</x:f>
        <x:v>1641600</x:v>
      </x:c>
      <x:c r="F14" s="35" t="n">
        <x:f>F13*'Assumptions'!F32</x:f>
        <x:v>6810075</x:v>
      </x:c>
      <x:c r="G14" s="35" t="n">
        <x:f>G13*'Assumptions'!G32</x:f>
        <x:v>21738118.5</x:v>
      </x:c>
      <x:c r="H14" s="35" t="n">
        <x:f>H13*'Assumptions'!H32</x:f>
        <x:v>55865494.8</x:v>
      </x:c>
      <x:c r="I14" s="35" t="n">
        <x:f>I13*'Assumptions'!I32</x:f>
        <x:v>118564395.84000002</x:v>
      </x:c>
      <x:c r="J14" s="35" t="n">
        <x:f>J13*'Assumptions'!J32</x:f>
        <x:v>217971516.67200002</x:v>
      </x:c>
      <x:c r="K14" s="1"/>
      <x:c r="L14" s="1"/>
      <x:c r="M14" s="1"/>
    </x:row>
    <x:row r="15" ht="22" customHeight="1">
      <x:c r="A15" s="1"/>
      <x:c r="B15" s="1"/>
      <x:c r="C15" s="1"/>
      <x:c r="D15" s="6"/>
      <x:c r="E15" s="6"/>
      <x:c r="F15" s="6"/>
      <x:c r="G15" s="6"/>
      <x:c r="H15" s="6"/>
      <x:c r="I15" s="6"/>
      <x:c r="J15" s="6"/>
      <x:c r="K15" s="1"/>
      <x:c r="L15" s="1"/>
      <x:c r="M15" s="1"/>
    </x:row>
    <x:row r="16" ht="22" customHeight="1">
      <x:c r="A16" s="1"/>
      <x:c r="B16" s="1"/>
      <x:c r="C16" s="1" t="str">
        <x:v>Opening providers</x:v>
      </x:c>
      <x:c r="D16" s="10" t="n">
        <x:f>0</x:f>
        <x:v>0</x:v>
      </x:c>
      <x:c r="E16" s="10" t="n">
        <x:f>D18</x:f>
        <x:v>20</x:v>
      </x:c>
      <x:c r="F16" s="10" t="n">
        <x:f>E18</x:f>
        <x:v>72</x:v>
      </x:c>
      <x:c r="G16" s="10" t="n">
        <x:f>F18</x:f>
        <x:v>279</x:v>
      </x:c>
      <x:c r="H16" s="10" t="n">
        <x:f>G18</x:f>
        <x:v>843</x:v>
      </x:c>
      <x:c r="I16" s="10" t="n">
        <x:f>H18</x:f>
        <x:v>2049</x:v>
      </x:c>
      <x:c r="J16" s="10" t="n">
        <x:f>I18</x:f>
        <x:v>4139</x:v>
      </x:c>
      <x:c r="K16" s="1"/>
      <x:c r="L16" s="1"/>
      <x:c r="M16" s="1"/>
    </x:row>
    <x:row r="17" ht="22" customHeight="1">
      <x:c r="A17" s="1"/>
      <x:c r="B17" s="1"/>
      <x:c r="C17" s="1" t="str">
        <x:v>Retained providers</x:v>
      </x:c>
      <x:c r="D17" s="34" t="n">
        <x:f>D16*'Assumptions'!$D$73</x:f>
        <x:v>0</x:v>
      </x:c>
      <x:c r="E17" s="34" t="n">
        <x:f>E16*'Assumptions'!$D$73</x:f>
        <x:v>17</x:v>
      </x:c>
      <x:c r="F17" s="34" t="n">
        <x:f>F16*'Assumptions'!$D$73</x:f>
        <x:v>61.199999999999996</x:v>
      </x:c>
      <x:c r="G17" s="34" t="n">
        <x:f>G16*'Assumptions'!$D$73</x:f>
        <x:v>237.15</x:v>
      </x:c>
      <x:c r="H17" s="34" t="n">
        <x:f>H16*'Assumptions'!$D$73</x:f>
        <x:v>716.55</x:v>
      </x:c>
      <x:c r="I17" s="34" t="n">
        <x:f>I16*'Assumptions'!$D$73</x:f>
        <x:v>1741.6499999999999</x:v>
      </x:c>
      <x:c r="J17" s="34" t="n">
        <x:f>J16*'Assumptions'!$D$73</x:f>
        <x:v>3518.15</x:v>
      </x:c>
      <x:c r="K17" s="1"/>
      <x:c r="L17" s="1"/>
      <x:c r="M17" s="1"/>
    </x:row>
    <x:row r="18" ht="22" customHeight="1">
      <x:c r="A18" s="1"/>
      <x:c r="B18" s="1"/>
      <x:c r="C18" s="1" t="str">
        <x:v>Ending providers</x:v>
      </x:c>
      <x:c r="D18" s="34" t="n">
        <x:f>MAX(20,ROUNDUP(D10/'Assumptions'!$D$72,0))</x:f>
        <x:v>20</x:v>
      </x:c>
      <x:c r="E18" s="34" t="n">
        <x:f>MAX(20,ROUNDUP(E10/'Assumptions'!$D$72,0))</x:f>
        <x:v>72</x:v>
      </x:c>
      <x:c r="F18" s="34" t="n">
        <x:f>MAX(20,ROUNDUP(F10/'Assumptions'!$D$72,0))</x:f>
        <x:v>279</x:v>
      </x:c>
      <x:c r="G18" s="34" t="n">
        <x:f>MAX(20,ROUNDUP(G10/'Assumptions'!$D$72,0))</x:f>
        <x:v>843</x:v>
      </x:c>
      <x:c r="H18" s="34" t="n">
        <x:f>MAX(20,ROUNDUP(H10/'Assumptions'!$D$72,0))</x:f>
        <x:v>2049</x:v>
      </x:c>
      <x:c r="I18" s="34" t="n">
        <x:f>MAX(20,ROUNDUP(I10/'Assumptions'!$D$72,0))</x:f>
        <x:v>4139</x:v>
      </x:c>
      <x:c r="J18" s="34" t="n">
        <x:f>MAX(20,ROUNDUP(J10/'Assumptions'!$D$72,0))</x:f>
        <x:v>7312</x:v>
      </x:c>
      <x:c r="K18" s="1"/>
      <x:c r="L18" s="1"/>
      <x:c r="M18" s="1"/>
    </x:row>
    <x:row r="19" ht="22" customHeight="1">
      <x:c r="A19" s="1"/>
      <x:c r="B19" s="1"/>
      <x:c r="C19" s="1" t="str">
        <x:v>New/replacement providers</x:v>
      </x:c>
      <x:c r="D19" s="10" t="n">
        <x:f>MAX(0,D18-D17)</x:f>
        <x:v>20</x:v>
      </x:c>
      <x:c r="E19" s="10" t="n">
        <x:f>MAX(0,E18-E17)</x:f>
        <x:v>55</x:v>
      </x:c>
      <x:c r="F19" s="10" t="n">
        <x:f>MAX(0,F18-F17)</x:f>
        <x:v>217.8</x:v>
      </x:c>
      <x:c r="G19" s="10" t="n">
        <x:f>MAX(0,G18-G17)</x:f>
        <x:v>605.85</x:v>
      </x:c>
      <x:c r="H19" s="10" t="n">
        <x:f>MAX(0,H18-H17)</x:f>
        <x:v>1332.45</x:v>
      </x:c>
      <x:c r="I19" s="10" t="n">
        <x:f>MAX(0,I18-I17)</x:f>
        <x:v>2397.3500000000004</x:v>
      </x:c>
      <x:c r="J19" s="10" t="n">
        <x:f>MAX(0,J18-J17)</x:f>
        <x:v>3793.85</x:v>
      </x:c>
      <x:c r="K19" s="1"/>
      <x:c r="L19" s="1"/>
      <x:c r="M19" s="1"/>
    </x:row>
    <x:row r="20" ht="22" customHeight="1">
      <x:c r="A20" s="1"/>
      <x:c r="B20" s="1"/>
      <x:c r="C20" s="1" t="str">
        <x:v>Average payout-active providers</x:v>
      </x:c>
      <x:c r="D20" s="34" t="n">
        <x:f>D17+D19*'Assumptions'!$D$71</x:f>
        <x:v>10</x:v>
      </x:c>
      <x:c r="E20" s="34" t="n">
        <x:f>E17+E19*'Assumptions'!$D$71</x:f>
        <x:v>44.5</x:v>
      </x:c>
      <x:c r="F20" s="34" t="n">
        <x:f>F17+F19*'Assumptions'!$D$71</x:f>
        <x:v>170.1</x:v>
      </x:c>
      <x:c r="G20" s="34" t="n">
        <x:f>G17+G19*'Assumptions'!$D$71</x:f>
        <x:v>540.075</x:v>
      </x:c>
      <x:c r="H20" s="34" t="n">
        <x:f>H17+H19*'Assumptions'!$D$71</x:f>
        <x:v>1382.775</x:v>
      </x:c>
      <x:c r="I20" s="34" t="n">
        <x:f>I17+I19*'Assumptions'!$D$71</x:f>
        <x:v>2940.325</x:v>
      </x:c>
      <x:c r="J20" s="34" t="n">
        <x:f>J17+J19*'Assumptions'!$D$71</x:f>
        <x:v>5415.075</x:v>
      </x:c>
      <x:c r="K20" s="1"/>
      <x:c r="L20" s="1"/>
      <x:c r="M20" s="1"/>
    </x:row>
    <x:row r="21" ht="22" customHeight="1">
      <x:c r="A21" s="1"/>
      <x:c r="B21" s="1"/>
      <x:c r="C21" s="1" t="str">
        <x:v>New customer/provider pairs</x:v>
      </x:c>
      <x:c r="D21" s="10" t="n">
        <x:f>D7</x:f>
        <x:v>500</x:v>
      </x:c>
      <x:c r="E21" s="10" t="n">
        <x:f>E7</x:f>
        <x:v>2500</x:v>
      </x:c>
      <x:c r="F21" s="10" t="n">
        <x:f>F7</x:f>
        <x:v>9000</x:v>
      </x:c>
      <x:c r="G21" s="10" t="n">
        <x:f>G7</x:f>
        <x:v>25000</x:v>
      </x:c>
      <x:c r="H21" s="10" t="n">
        <x:f>H7</x:f>
        <x:v>55000</x:v>
      </x:c>
      <x:c r="I21" s="10" t="n">
        <x:f>I7</x:f>
        <x:v>100000</x:v>
      </x:c>
      <x:c r="J21" s="10" t="n">
        <x:f>J7</x:f>
        <x:v>160000</x:v>
      </x:c>
      <x:c r="K21" s="1"/>
      <x:c r="L21" s="1"/>
      <x:c r="M21" s="1"/>
    </x:row>
    <x:row r="22" ht="22" customHeight="1">
      <x:c r="A22" s="1"/>
      <x:c r="B22" s="1"/>
      <x:c r="C22" s="1" t="str">
        <x:v>Welcome finder-fee waivers</x:v>
      </x:c>
      <x:c r="D22" s="34" t="n">
        <x:f>MIN(D21,D19*'Assumptions'!$D$88)</x:f>
        <x:v>20</x:v>
      </x:c>
      <x:c r="E22" s="34" t="n">
        <x:f>MIN(E21,E19*'Assumptions'!$D$88)</x:f>
        <x:v>55</x:v>
      </x:c>
      <x:c r="F22" s="34" t="n">
        <x:f>MIN(F21,F19*'Assumptions'!$D$88)</x:f>
        <x:v>217.8</x:v>
      </x:c>
      <x:c r="G22" s="34" t="n">
        <x:f>MIN(G21,G19*'Assumptions'!$D$88)</x:f>
        <x:v>605.85</x:v>
      </x:c>
      <x:c r="H22" s="34" t="n">
        <x:f>MIN(H21,H19*'Assumptions'!$D$88)</x:f>
        <x:v>1332.45</x:v>
      </x:c>
      <x:c r="I22" s="34" t="n">
        <x:f>MIN(I21,I19*'Assumptions'!$D$88)</x:f>
        <x:v>2397.3500000000004</x:v>
      </x:c>
      <x:c r="J22" s="34" t="n">
        <x:f>MIN(J21,J19*'Assumptions'!$D$88)</x:f>
        <x:v>3793.85</x:v>
      </x:c>
      <x:c r="K22" s="1"/>
      <x:c r="L22" s="1"/>
      <x:c r="M22" s="1"/>
    </x:row>
    <x:row r="23" ht="22" customHeight="1">
      <x:c r="A23" s="1"/>
      <x:c r="B23" s="1"/>
      <x:c r="C23" s="1"/>
      <x:c r="D23" s="6"/>
      <x:c r="E23" s="6"/>
      <x:c r="F23" s="6"/>
      <x:c r="G23" s="6"/>
      <x:c r="H23" s="6"/>
      <x:c r="I23" s="6"/>
      <x:c r="J23" s="6"/>
      <x:c r="K23" s="1"/>
      <x:c r="L23" s="1"/>
      <x:c r="M23" s="1"/>
    </x:row>
    <x:row r="24" ht="22" customHeight="1">
      <x:c r="A24" s="1"/>
      <x:c r="B24" s="1"/>
      <x:c r="C24" s="1" t="str">
        <x:v>Finder-fee revenue</x:v>
      </x:c>
      <x:c r="D24" s="35" t="n">
        <x:f>(D21-D22)*'Assumptions'!$D$69</x:f>
        <x:v>21600</x:v>
      </x:c>
      <x:c r="E24" s="35" t="n">
        <x:f>(E21-E22)*'Assumptions'!$D$69</x:f>
        <x:v>110025</x:v>
      </x:c>
      <x:c r="F24" s="35" t="n">
        <x:f>(F21-F22)*'Assumptions'!$D$69</x:f>
        <x:v>395199.00000000006</x:v>
      </x:c>
      <x:c r="G24" s="35" t="n">
        <x:f>(G21-G22)*'Assumptions'!$D$69</x:f>
        <x:v>1097736.75</x:v>
      </x:c>
      <x:c r="H24" s="35" t="n">
        <x:f>(H21-H22)*'Assumptions'!$D$69</x:f>
        <x:v>2415039.75</x:v>
      </x:c>
      <x:c r="I24" s="35" t="n">
        <x:f>(I21-I22)*'Assumptions'!$D$69</x:f>
        <x:v>4392119.25</x:v>
      </x:c>
      <x:c r="J24" s="35" t="n">
        <x:f>(J21-J22)*'Assumptions'!$D$69</x:f>
        <x:v>7029276.75</x:v>
      </x:c>
      <x:c r="K24" s="1"/>
      <x:c r="L24" s="1"/>
      <x:c r="M24" s="1"/>
    </x:row>
    <x:row r="25" ht="22" customHeight="1">
      <x:c r="A25" s="1"/>
      <x:c r="B25" s="1"/>
      <x:c r="C25" s="1" t="str">
        <x:v>Recurring service-fee revenue</x:v>
      </x:c>
      <x:c r="D25" s="35" t="n">
        <x:f>D13*'Assumptions'!$D$70</x:f>
        <x:v>12782.250000000002</x:v>
      </x:c>
      <x:c r="E25" s="35" t="n">
        <x:f>E13*'Assumptions'!$D$70</x:f>
        <x:v>81806.40000000001</x:v>
      </x:c>
      <x:c r="F25" s="35" t="n">
        <x:f>F13*'Assumptions'!$D$70</x:f>
        <x:v>339368.73750000005</x:v>
      </x:c>
      <x:c r="G25" s="35" t="n">
        <x:f>G13*'Assumptions'!$D$70</x:f>
        <x:v>1083282.90525</x:v>
      </x:c>
      <x:c r="H25" s="35" t="n">
        <x:f>H13*'Assumptions'!$D$70</x:f>
        <x:v>2783963.8242</x:v>
      </x:c>
      <x:c r="I25" s="35" t="n">
        <x:f>I13*'Assumptions'!$D$70</x:f>
        <x:v>5908459.059360001</x:v>
      </x:c>
      <x:c r="J25" s="35" t="n">
        <x:f>J13*'Assumptions'!$D$70</x:f>
        <x:v>10862247.247488001</x:v>
      </x:c>
      <x:c r="K25" s="1"/>
      <x:c r="L25" s="1"/>
      <x:c r="M25" s="1"/>
    </x:row>
    <x:row r="26" ht="22" customHeight="1">
      <x:c r="A26" s="1"/>
      <x:c r="B26" s="1"/>
      <x:c r="C26" s="4" t="str">
        <x:v>Net marketplace revenue</x:v>
      </x:c>
      <x:c r="D26" s="24" t="n">
        <x:f>SUM(D24:D25)</x:f>
        <x:v>34382.25</x:v>
      </x:c>
      <x:c r="E26" s="24" t="n">
        <x:f>SUM(E24:E25)</x:f>
        <x:v>191831.40000000002</x:v>
      </x:c>
      <x:c r="F26" s="24" t="n">
        <x:f>SUM(F24:F25)</x:f>
        <x:v>734567.7375</x:v>
      </x:c>
      <x:c r="G26" s="24" t="n">
        <x:f>SUM(G24:G25)</x:f>
        <x:v>2181019.65525</x:v>
      </x:c>
      <x:c r="H26" s="24" t="n">
        <x:f>SUM(H24:H25)</x:f>
        <x:v>5199003.574200001</x:v>
      </x:c>
      <x:c r="I26" s="24" t="n">
        <x:f>SUM(I24:I25)</x:f>
        <x:v>10300578.309360001</x:v>
      </x:c>
      <x:c r="J26" s="24" t="n">
        <x:f>SUM(J24:J25)</x:f>
        <x:v>17891523.997488</x:v>
      </x:c>
      <x:c r="K26" s="1"/>
      <x:c r="L26" s="1"/>
      <x:c r="M26" s="1"/>
    </x:row>
    <x:row r="27" ht="22" customHeight="1">
      <x:c r="A27" s="1"/>
      <x:c r="B27" s="1"/>
      <x:c r="C27" s="1" t="str">
        <x:v>Provider proceeds before business costs</x:v>
      </x:c>
      <x:c r="D27" s="22" t="n">
        <x:f>D14-D26</x:f>
        <x:v>222117.75</x:v>
      </x:c>
      <x:c r="E27" s="22" t="n">
        <x:f>E14-E26</x:f>
        <x:v>1449768.6</x:v>
      </x:c>
      <x:c r="F27" s="22" t="n">
        <x:f>F14-F26</x:f>
        <x:v>6075507.2625</x:v>
      </x:c>
      <x:c r="G27" s="22" t="n">
        <x:f>G14-G26</x:f>
        <x:v>19557098.844750002</x:v>
      </x:c>
      <x:c r="H27" s="22" t="n">
        <x:f>H14-H26</x:f>
        <x:v>50666491.22579999</x:v>
      </x:c>
      <x:c r="I27" s="22" t="n">
        <x:f>I14-I26</x:f>
        <x:v>108263817.53064002</x:v>
      </x:c>
      <x:c r="J27" s="22" t="n">
        <x:f>J14-J26</x:f>
        <x:v>200079992.67451203</x:v>
      </x:c>
      <x:c r="K27" s="1"/>
      <x:c r="L27" s="1"/>
      <x:c r="M27" s="1"/>
    </x:row>
    <x:row r="28" ht="22" customHeight="1">
      <x:c r="A28" s="1"/>
      <x:c r="B28" s="1"/>
      <x:c r="C28" s="1"/>
      <x:c r="D28" s="6"/>
      <x:c r="E28" s="6"/>
      <x:c r="F28" s="6"/>
      <x:c r="G28" s="6"/>
      <x:c r="H28" s="6"/>
      <x:c r="I28" s="6"/>
      <x:c r="J28" s="6"/>
      <x:c r="K28" s="1"/>
      <x:c r="L28" s="1"/>
      <x:c r="M28" s="1"/>
    </x:row>
    <x:row r="29" ht="22" customHeight="1">
      <x:c r="A29" s="1"/>
      <x:c r="B29" s="1"/>
      <x:c r="C29" s="1" t="str">
        <x:v>Card payment processing</x:v>
      </x:c>
      <x:c r="D29" s="35" t="n">
        <x:f>D13*(1-'Assumptions'!D37)*('Assumptions'!D32*'Assumptions'!$D$76+'Assumptions'!$D$77)</x:f>
        <x:v>7848.900000000001</x:v>
      </x:c>
      <x:c r="E29" s="35" t="n">
        <x:f>E13*(1-'Assumptions'!E37)*('Assumptions'!E32*'Assumptions'!$D$76+'Assumptions'!$D$77)</x:f>
        <x:v>44651.520000000004</x:v>
      </x:c>
      <x:c r="F29" s="35" t="n">
        <x:f>F13*(1-'Assumptions'!F37)*('Assumptions'!F32*'Assumptions'!$D$76+'Assumptions'!$D$77)</x:f>
        <x:v>162079.785</x:v>
      </x:c>
      <x:c r="G29" s="35" t="n">
        <x:f>G13*(1-'Assumptions'!G37)*('Assumptions'!G32*'Assumptions'!$D$76+'Assumptions'!$D$77)</x:f>
        <x:v>443457.61739999993</x:v>
      </x:c>
      <x:c r="H29" s="35" t="n">
        <x:f>H13*(1-'Assumptions'!H37)*('Assumptions'!H32*'Assumptions'!$D$76+'Assumptions'!$D$77)</x:f>
        <x:v>949713.4116</x:v>
      </x:c>
      <x:c r="I29" s="35" t="n">
        <x:f>I13*(1-'Assumptions'!I37)*('Assumptions'!I32*'Assumptions'!$D$76+'Assumptions'!$D$77)</x:f>
        <x:v>1814035.2563520002</x:v>
      </x:c>
      <x:c r="J29" s="35" t="n">
        <x:f>J13*(1-'Assumptions'!J37)*('Assumptions'!J32*'Assumptions'!$D$76+'Assumptions'!$D$77)</x:f>
        <x:v>2964412.6267392</x:v>
      </x:c>
      <x:c r="K29" s="1"/>
      <x:c r="L29" s="1"/>
      <x:c r="M29" s="1"/>
    </x:row>
    <x:row r="30" ht="22" customHeight="1">
      <x:c r="A30" s="1"/>
      <x:c r="B30" s="1"/>
      <x:c r="C30" s="1" t="str">
        <x:v>ACH payment processing</x:v>
      </x:c>
      <x:c r="D30" s="35" t="n">
        <x:f>D13*'Assumptions'!D37*MIN('Assumptions'!D32*'Assumptions'!$D$78,'Assumptions'!$D$79)</x:f>
        <x:v>205.2</x:v>
      </x:c>
      <x:c r="E30" s="35" t="n">
        <x:f>E13*'Assumptions'!E37*MIN('Assumptions'!E32*'Assumptions'!$D$78,'Assumptions'!$D$79)</x:f>
        <x:v>2626.56</x:v>
      </x:c>
      <x:c r="F30" s="35" t="n">
        <x:f>F13*'Assumptions'!F37*MIN('Assumptions'!F32*'Assumptions'!$D$78,'Assumptions'!$D$79)</x:f>
        <x:v>16344.18</x:v>
      </x:c>
      <x:c r="G30" s="35" t="n">
        <x:f>G13*'Assumptions'!G37*MIN('Assumptions'!G32*'Assumptions'!$D$78,'Assumptions'!$D$79)</x:f>
        <x:v>69561.9792</x:v>
      </x:c>
      <x:c r="H30" s="35" t="n">
        <x:f>H13*'Assumptions'!H37*MIN('Assumptions'!H32*'Assumptions'!$D$78,'Assumptions'!$D$79)</x:f>
        <x:v>223461.97919999997</x:v>
      </x:c>
      <x:c r="I30" s="35" t="n">
        <x:f>I13*'Assumptions'!I37*MIN('Assumptions'!I32*'Assumptions'!$D$78,'Assumptions'!$D$79)</x:f>
        <x:v>521683.34169600013</x:v>
      </x:c>
      <x:c r="J30" s="35" t="n">
        <x:f>J13*'Assumptions'!J37*MIN('Assumptions'!J32*'Assumptions'!$D$78,'Assumptions'!$D$79)</x:f>
        <x:v>1046263.2800256</x:v>
      </x:c>
      <x:c r="K30" s="1"/>
      <x:c r="L30" s="1"/>
      <x:c r="M30" s="1"/>
    </x:row>
    <x:row r="31" ht="22" customHeight="1">
      <x:c r="A31" s="1"/>
      <x:c r="B31" s="1"/>
      <x:c r="C31" s="1" t="str">
        <x:v>Connect volume cost</x:v>
      </x:c>
      <x:c r="D31" s="35" t="n">
        <x:f>D27*'Assumptions'!$D$80</x:f>
        <x:v>555.2943750000001</x:v>
      </x:c>
      <x:c r="E31" s="35" t="n">
        <x:f>E27*'Assumptions'!$D$80</x:f>
        <x:v>3624.4215000000004</x:v>
      </x:c>
      <x:c r="F31" s="35" t="n">
        <x:f>F27*'Assumptions'!$D$80</x:f>
        <x:v>15188.76815625</x:v>
      </x:c>
      <x:c r="G31" s="35" t="n">
        <x:f>G27*'Assumptions'!$D$80</x:f>
        <x:v>48892.747111875</x:v>
      </x:c>
      <x:c r="H31" s="35" t="n">
        <x:f>H27*'Assumptions'!$D$80</x:f>
        <x:v>126666.22806449998</x:v>
      </x:c>
      <x:c r="I31" s="35" t="n">
        <x:f>I27*'Assumptions'!$D$80</x:f>
        <x:v>270659.5438266001</x:v>
      </x:c>
      <x:c r="J31" s="35" t="n">
        <x:f>J27*'Assumptions'!$D$80</x:f>
        <x:v>500199.9816862801</x:v>
      </x:c>
      <x:c r="K31" s="1"/>
      <x:c r="L31" s="1"/>
      <x:c r="M31" s="1"/>
    </x:row>
    <x:row r="32" ht="22" customHeight="1">
      <x:c r="A32" s="1"/>
      <x:c r="B32" s="1"/>
      <x:c r="C32" s="1" t="str">
        <x:v>Connect payout-count cost</x:v>
      </x:c>
      <x:c r="D32" s="35" t="n">
        <x:f>D20*'Assumptions'!$D$74*'Assumptions'!$D$75*'Assumptions'!$D$81</x:f>
        <x:v>86.6</x:v>
      </x:c>
      <x:c r="E32" s="35" t="n">
        <x:f>E20*'Assumptions'!$D$74*'Assumptions'!$D$75*'Assumptions'!$D$81</x:f>
        <x:v>385.37</x:v>
      </x:c>
      <x:c r="F32" s="35" t="n">
        <x:f>F20*'Assumptions'!$D$74*'Assumptions'!$D$75*'Assumptions'!$D$81</x:f>
        <x:v>1473.066</x:v>
      </x:c>
      <x:c r="G32" s="35" t="n">
        <x:f>G20*'Assumptions'!$D$74*'Assumptions'!$D$75*'Assumptions'!$D$81</x:f>
        <x:v>4677.0495</x:v>
      </x:c>
      <x:c r="H32" s="35" t="n">
        <x:f>H20*'Assumptions'!$D$74*'Assumptions'!$D$75*'Assumptions'!$D$81</x:f>
        <x:v>11974.8315</x:v>
      </x:c>
      <x:c r="I32" s="35" t="n">
        <x:f>I20*'Assumptions'!$D$74*'Assumptions'!$D$75*'Assumptions'!$D$81</x:f>
        <x:v>25463.2145</x:v>
      </x:c>
      <x:c r="J32" s="35" t="n">
        <x:f>J20*'Assumptions'!$D$74*'Assumptions'!$D$75*'Assumptions'!$D$81</x:f>
        <x:v>46894.5495</x:v>
      </x:c>
      <x:c r="K32" s="1"/>
      <x:c r="L32" s="1"/>
      <x:c r="M32" s="1"/>
    </x:row>
    <x:row r="33" ht="22" customHeight="1">
      <x:c r="A33" s="1"/>
      <x:c r="B33" s="1"/>
      <x:c r="C33" s="1" t="str">
        <x:v>Connect active-account cost</x:v>
      </x:c>
      <x:c r="D33" s="35" t="n">
        <x:f>D20*'Assumptions'!$D$74*'Assumptions'!$D$82</x:f>
        <x:v>160</x:v>
      </x:c>
      <x:c r="E33" s="35" t="n">
        <x:f>E20*'Assumptions'!$D$74*'Assumptions'!$D$82</x:f>
        <x:v>712</x:v>
      </x:c>
      <x:c r="F33" s="35" t="n">
        <x:f>F20*'Assumptions'!$D$74*'Assumptions'!$D$82</x:f>
        <x:v>2721.6</x:v>
      </x:c>
      <x:c r="G33" s="35" t="n">
        <x:f>G20*'Assumptions'!$D$74*'Assumptions'!$D$82</x:f>
        <x:v>8641.2</x:v>
      </x:c>
      <x:c r="H33" s="35" t="n">
        <x:f>H20*'Assumptions'!$D$74*'Assumptions'!$D$82</x:f>
        <x:v>22124.4</x:v>
      </x:c>
      <x:c r="I33" s="35" t="n">
        <x:f>I20*'Assumptions'!$D$74*'Assumptions'!$D$82</x:f>
        <x:v>47045.2</x:v>
      </x:c>
      <x:c r="J33" s="35" t="n">
        <x:f>J20*'Assumptions'!$D$74*'Assumptions'!$D$82</x:f>
        <x:v>86641.2</x:v>
      </x:c>
      <x:c r="K33" s="1"/>
      <x:c r="L33" s="1"/>
      <x:c r="M33" s="1"/>
    </x:row>
    <x:row r="34" ht="22" customHeight="1">
      <x:c r="A34" s="1"/>
      <x:c r="B34" s="1"/>
      <x:c r="C34" s="1" t="str">
        <x:v>New bank links</x:v>
      </x:c>
      <x:c r="D34" s="34" t="n">
        <x:f>D7*'Assumptions'!D37+D8*MAX(0,'Assumptions'!D37-0)</x:f>
        <x:v>50</x:v>
      </x:c>
      <x:c r="E34" s="34" t="n">
        <x:f>E7*'Assumptions'!E37+E8*MAX(0,'Assumptions'!E37-'Assumptions'!D37)</x:f>
        <x:v>535</x:v>
      </x:c>
      <x:c r="F34" s="34" t="n">
        <x:f>F7*'Assumptions'!F37+F8*MAX(0,'Assumptions'!F37-'Assumptions'!E37)</x:f>
        <x:v>2913.75</x:v>
      </x:c>
      <x:c r="G34" s="34" t="n">
        <x:f>G7*'Assumptions'!G37+G8*MAX(0,'Assumptions'!G37-'Assumptions'!F37)</x:f>
        <x:v>10868.725</x:v>
      </x:c>
      <x:c r="H34" s="34" t="n">
        <x:f>H7*'Assumptions'!H37+H8*MAX(0,'Assumptions'!H37-'Assumptions'!G37)</x:f>
        <x:v>30194.98</x:v>
      </x:c>
      <x:c r="I34" s="34" t="n">
        <x:f>I7*'Assumptions'!I37+I8*MAX(0,'Assumptions'!I37-'Assumptions'!H37)</x:f>
        <x:v>58277.99200000001</x:v>
      </x:c>
      <x:c r="J34" s="34" t="n">
        <x:f>J7*'Assumptions'!J37+J8*MAX(0,'Assumptions'!J37-'Assumptions'!I37)</x:f>
        <x:v>102622.3936</x:v>
      </x:c>
      <x:c r="K34" s="1"/>
      <x:c r="L34" s="1"/>
      <x:c r="M34" s="1"/>
    </x:row>
    <x:row r="35" ht="22" customHeight="1">
      <x:c r="A35" s="1"/>
      <x:c r="B35" s="1"/>
      <x:c r="C35" s="1" t="str">
        <x:v>Bank verification allowance</x:v>
      </x:c>
      <x:c r="D35" s="35" t="n">
        <x:f>D34*'Assumptions'!$D$83</x:f>
        <x:v>75</x:v>
      </x:c>
      <x:c r="E35" s="35" t="n">
        <x:f>E34*'Assumptions'!$D$83</x:f>
        <x:v>802.5</x:v>
      </x:c>
      <x:c r="F35" s="35" t="n">
        <x:f>F34*'Assumptions'!$D$83</x:f>
        <x:v>4370.625</x:v>
      </x:c>
      <x:c r="G35" s="35" t="n">
        <x:f>G34*'Assumptions'!$D$83</x:f>
        <x:v>16303.087500000001</x:v>
      </x:c>
      <x:c r="H35" s="35" t="n">
        <x:f>H34*'Assumptions'!$D$83</x:f>
        <x:v>45292.47</x:v>
      </x:c>
      <x:c r="I35" s="35" t="n">
        <x:f>I34*'Assumptions'!$D$83</x:f>
        <x:v>87416.98800000001</x:v>
      </x:c>
      <x:c r="J35" s="35" t="n">
        <x:f>J34*'Assumptions'!$D$83</x:f>
        <x:v>153933.5904</x:v>
      </x:c>
      <x:c r="K35" s="1"/>
      <x:c r="L35" s="1"/>
      <x:c r="M35" s="1"/>
    </x:row>
    <x:row r="36" ht="22" customHeight="1">
      <x:c r="A36" s="1"/>
      <x:c r="B36" s="1"/>
      <x:c r="C36" s="1" t="str">
        <x:v>Variable support</x:v>
      </x:c>
      <x:c r="D36" s="35" t="n">
        <x:f>D13*'Assumptions'!$D$84</x:f>
        <x:v>1496.25</x:v>
      </x:c>
      <x:c r="E36" s="35" t="n">
        <x:f>E13*'Assumptions'!$D$84</x:f>
        <x:v>9576</x:v>
      </x:c>
      <x:c r="F36" s="35" t="n">
        <x:f>F13*'Assumptions'!$D$84</x:f>
        <x:v>39725.4375</x:v>
      </x:c>
      <x:c r="G36" s="35" t="n">
        <x:f>G13*'Assumptions'!$D$84</x:f>
        <x:v>126805.69124999999</x:v>
      </x:c>
      <x:c r="H36" s="35" t="n">
        <x:f>H13*'Assumptions'!$D$84</x:f>
        <x:v>325882.05299999996</x:v>
      </x:c>
      <x:c r="I36" s="35" t="n">
        <x:f>I13*'Assumptions'!$D$84</x:f>
        <x:v>691625.6424</x:v>
      </x:c>
      <x:c r="J36" s="35" t="n">
        <x:f>J13*'Assumptions'!$D$84</x:f>
        <x:v>1271500.51392</x:v>
      </x:c>
      <x:c r="K36" s="1"/>
      <x:c r="L36" s="1"/>
      <x:c r="M36" s="1"/>
    </x:row>
    <x:row r="37" ht="22" customHeight="1">
      <x:c r="A37" s="1"/>
      <x:c r="B37" s="1"/>
      <x:c r="C37" s="1" t="str">
        <x:v>Variable infrastructure</x:v>
      </x:c>
      <x:c r="D37" s="35" t="n">
        <x:f>D13*'Assumptions'!$D$85</x:f>
        <x:v>427.5</x:v>
      </x:c>
      <x:c r="E37" s="35" t="n">
        <x:f>E13*'Assumptions'!$D$85</x:f>
        <x:v>2736</x:v>
      </x:c>
      <x:c r="F37" s="35" t="n">
        <x:f>F13*'Assumptions'!$D$85</x:f>
        <x:v>11350.125</x:v>
      </x:c>
      <x:c r="G37" s="35" t="n">
        <x:f>G13*'Assumptions'!$D$85</x:f>
        <x:v>36230.1975</x:v>
      </x:c>
      <x:c r="H37" s="35" t="n">
        <x:f>H13*'Assumptions'!$D$85</x:f>
        <x:v>93109.158</x:v>
      </x:c>
      <x:c r="I37" s="35" t="n">
        <x:f>I13*'Assumptions'!$D$85</x:f>
        <x:v>197607.32640000002</x:v>
      </x:c>
      <x:c r="J37" s="35" t="n">
        <x:f>J13*'Assumptions'!$D$85</x:f>
        <x:v>363285.86112</x:v>
      </x:c>
      <x:c r="K37" s="1"/>
      <x:c r="L37" s="1"/>
      <x:c r="M37" s="1"/>
    </x:row>
    <x:row r="38" ht="22" customHeight="1">
      <x:c r="A38" s="1"/>
      <x:c r="B38" s="1"/>
      <x:c r="C38" s="1" t="str">
        <x:v>Net payment/service loss allowance</x:v>
      </x:c>
      <x:c r="D38" s="35" t="n">
        <x:f>D14*'Assumptions'!$D$86</x:f>
        <x:v>513</x:v>
      </x:c>
      <x:c r="E38" s="35" t="n">
        <x:f>E14*'Assumptions'!$D$86</x:f>
        <x:v>3283.2000000000003</x:v>
      </x:c>
      <x:c r="F38" s="35" t="n">
        <x:f>F14*'Assumptions'!$D$86</x:f>
        <x:v>13620.15</x:v>
      </x:c>
      <x:c r="G38" s="35" t="n">
        <x:f>G14*'Assumptions'!$D$86</x:f>
        <x:v>43476.237</x:v>
      </x:c>
      <x:c r="H38" s="35" t="n">
        <x:f>H14*'Assumptions'!$D$86</x:f>
        <x:v>111730.9896</x:v>
      </x:c>
      <x:c r="I38" s="35" t="n">
        <x:f>I14*'Assumptions'!$D$86</x:f>
        <x:v>237128.79168000005</x:v>
      </x:c>
      <x:c r="J38" s="35" t="n">
        <x:f>J14*'Assumptions'!$D$86</x:f>
        <x:v>435943.03334400005</x:v>
      </x:c>
      <x:c r="K38" s="1"/>
      <x:c r="L38" s="1"/>
      <x:c r="M38" s="1"/>
    </x:row>
    <x:row r="39" ht="22" customHeight="1">
      <x:c r="A39" s="1"/>
      <x:c r="B39" s="1"/>
      <x:c r="C39" s="1" t="str">
        <x:v>Total cost of revenue</x:v>
      </x:c>
      <x:c r="D39" s="22" t="n">
        <x:f>SUM(D29:D33)+SUM(D35:D38)</x:f>
        <x:v>11367.744375</x:v>
      </x:c>
      <x:c r="E39" s="22" t="n">
        <x:f>SUM(E29:E33)+SUM(E35:E38)</x:f>
        <x:v>68397.5715</x:v>
      </x:c>
      <x:c r="F39" s="22" t="n">
        <x:f>SUM(F29:F33)+SUM(F35:F38)</x:f>
        <x:v>266873.73665624997</x:v>
      </x:c>
      <x:c r="G39" s="22" t="n">
        <x:f>SUM(G29:G33)+SUM(G35:G38)</x:f>
        <x:v>798045.8064618749</x:v>
      </x:c>
      <x:c r="H39" s="22" t="n">
        <x:f>SUM(H29:H33)+SUM(H35:H38)</x:f>
        <x:v>1909955.5209645</x:v>
      </x:c>
      <x:c r="I39" s="22" t="n">
        <x:f>SUM(I29:I33)+SUM(I35:I38)</x:f>
        <x:v>3892665.3048546</x:v>
      </x:c>
      <x:c r="J39" s="22" t="n">
        <x:f>SUM(J29:J33)+SUM(J35:J38)</x:f>
        <x:v>6869074.636735081</x:v>
      </x:c>
      <x:c r="K39" s="1"/>
      <x:c r="L39" s="1"/>
      <x:c r="M39" s="1"/>
    </x:row>
    <x:row r="40" ht="22" customHeight="1">
      <x:c r="A40" s="1"/>
      <x:c r="B40" s="1"/>
      <x:c r="C40" s="4" t="str">
        <x:v>Gross profit</x:v>
      </x:c>
      <x:c r="D40" s="24" t="n">
        <x:f>D26-D39</x:f>
        <x:v>23014.505624999998</x:v>
      </x:c>
      <x:c r="E40" s="24" t="n">
        <x:f>E26-E39</x:f>
        <x:v>123433.82850000002</x:v>
      </x:c>
      <x:c r="F40" s="24" t="n">
        <x:f>F26-F39</x:f>
        <x:v>467694.0008437501</x:v>
      </x:c>
      <x:c r="G40" s="24" t="n">
        <x:f>G26-G39</x:f>
        <x:v>1382973.848788125</x:v>
      </x:c>
      <x:c r="H40" s="24" t="n">
        <x:f>H26-H39</x:f>
        <x:v>3289048.0532355006</x:v>
      </x:c>
      <x:c r="I40" s="24" t="n">
        <x:f>I26-I39</x:f>
        <x:v>6407913.0045054015</x:v>
      </x:c>
      <x:c r="J40" s="24" t="n">
        <x:f>J26-J39</x:f>
        <x:v>11022449.360752918</x:v>
      </x:c>
      <x:c r="K40" s="1"/>
      <x:c r="L40" s="1"/>
      <x:c r="M40" s="1"/>
    </x:row>
    <x:row r="41" ht="22" customHeight="1">
      <x:c r="A41" s="1"/>
      <x:c r="B41" s="1"/>
      <x:c r="C41" s="1" t="str">
        <x:v>Gross margin</x:v>
      </x:c>
      <x:c r="D41" s="13" t="n">
        <x:f>IF(D26=0,0,D40/D26)</x:f>
        <x:v>0.6693717143293414</x:v>
      </x:c>
      <x:c r="E41" s="13" t="n">
        <x:f>IF(E26=0,0,E40/E26)</x:f>
        <x:v>0.6434495525758557</x:v>
      </x:c>
      <x:c r="F41" s="13" t="n">
        <x:f>IF(F26=0,0,F40/F26)</x:f>
        <x:v>0.6366928153358355</x:v>
      </x:c>
      <x:c r="G41" s="13" t="n">
        <x:f>IF(G26=0,0,G40/G26)</x:f>
        <x:v>0.6340950873409719</x:v>
      </x:c>
      <x:c r="H41" s="13" t="n">
        <x:f>IF(H26=0,0,H40/H26)</x:f>
        <x:v>0.6326304658756855</x:v>
      </x:c>
      <x:c r="I41" s="13" t="n">
        <x:f>IF(I26=0,0,I40/I26)</x:f>
        <x:v>0.6220925478215737</x:v>
      </x:c>
      <x:c r="J41" s="13" t="n">
        <x:f>IF(J26=0,0,J40/J26)</x:f>
        <x:v>0.6160710156552616</x:v>
      </x:c>
      <x:c r="K41" s="1"/>
      <x:c r="L41" s="1"/>
      <x:c r="M41" s="1"/>
    </x:row>
    <x:row r="42" ht="22" customHeight="1">
      <x:c r="A42" s="1"/>
      <x:c r="B42" s="1"/>
      <x:c r="C42" s="1"/>
      <x:c r="D42" s="6"/>
      <x:c r="E42" s="6"/>
      <x:c r="F42" s="6"/>
      <x:c r="G42" s="6"/>
      <x:c r="H42" s="6"/>
      <x:c r="I42" s="6"/>
      <x:c r="J42" s="6"/>
      <x:c r="K42" s="1"/>
      <x:c r="L42" s="1"/>
      <x:c r="M42" s="1"/>
    </x:row>
    <x:row r="43" ht="22" customHeight="1">
      <x:c r="A43" s="1"/>
      <x:c r="B43" s="1"/>
      <x:c r="C43" s="1" t="str">
        <x:v>Customer acquisition spend</x:v>
      </x:c>
      <x:c r="D43" s="35" t="n">
        <x:f>D7*'Assumptions'!D42</x:f>
        <x:v>27500</x:v>
      </x:c>
      <x:c r="E43" s="35" t="n">
        <x:f>E7*'Assumptions'!E42</x:f>
        <x:v>125000</x:v>
      </x:c>
      <x:c r="F43" s="35" t="n">
        <x:f>F7*'Assumptions'!F42</x:f>
        <x:v>405000</x:v>
      </x:c>
      <x:c r="G43" s="35" t="n">
        <x:f>G7*'Assumptions'!G42</x:f>
        <x:v>1000000</x:v>
      </x:c>
      <x:c r="H43" s="35" t="n">
        <x:f>H7*'Assumptions'!H42</x:f>
        <x:v>1925000</x:v>
      </x:c>
      <x:c r="I43" s="35" t="n">
        <x:f>I7*'Assumptions'!I42</x:f>
        <x:v>3000000</x:v>
      </x:c>
      <x:c r="J43" s="35" t="n">
        <x:f>J7*'Assumptions'!J42</x:f>
        <x:v>4480000</x:v>
      </x:c>
      <x:c r="K43" s="1"/>
      <x:c r="L43" s="1"/>
      <x:c r="M43" s="1"/>
    </x:row>
    <x:row r="44" ht="22" customHeight="1">
      <x:c r="A44" s="1"/>
      <x:c r="B44" s="1"/>
      <x:c r="C44" s="1" t="str">
        <x:v>Provider onboarding spend</x:v>
      </x:c>
      <x:c r="D44" s="35" t="n">
        <x:f>D19*'Assumptions'!$D$87</x:f>
        <x:v>1500</x:v>
      </x:c>
      <x:c r="E44" s="35" t="n">
        <x:f>E19*'Assumptions'!$D$87</x:f>
        <x:v>4125</x:v>
      </x:c>
      <x:c r="F44" s="35" t="n">
        <x:f>F19*'Assumptions'!$D$87</x:f>
        <x:v>16335</x:v>
      </x:c>
      <x:c r="G44" s="35" t="n">
        <x:f>G19*'Assumptions'!$D$87</x:f>
        <x:v>45438.75</x:v>
      </x:c>
      <x:c r="H44" s="35" t="n">
        <x:f>H19*'Assumptions'!$D$87</x:f>
        <x:v>99933.75</x:v>
      </x:c>
      <x:c r="I44" s="35" t="n">
        <x:f>I19*'Assumptions'!$D$87</x:f>
        <x:v>179801.25000000003</x:v>
      </x:c>
      <x:c r="J44" s="35" t="n">
        <x:f>J19*'Assumptions'!$D$87</x:f>
        <x:v>284538.75</x:v>
      </x:c>
      <x:c r="K44" s="1"/>
      <x:c r="L44" s="1"/>
      <x:c r="M44" s="1"/>
    </x:row>
    <x:row r="45" ht="22" customHeight="1">
      <x:c r="A45" s="1"/>
      <x:c r="B45" s="1"/>
      <x:c r="C45" s="4" t="str">
        <x:v>Contribution after acquisition</x:v>
      </x:c>
      <x:c r="D45" s="24" t="n">
        <x:f>D40-SUM(D43:D44)</x:f>
        <x:v>-5985.494375000002</x:v>
      </x:c>
      <x:c r="E45" s="24" t="n">
        <x:f>E40-SUM(E43:E44)</x:f>
        <x:v>-5691.171499999982</x:v>
      </x:c>
      <x:c r="F45" s="24" t="n">
        <x:f>F40-SUM(F43:F44)</x:f>
        <x:v>46359.00084375008</x:v>
      </x:c>
      <x:c r="G45" s="24" t="n">
        <x:f>G40-SUM(G43:G44)</x:f>
        <x:v>337535.098788125</x:v>
      </x:c>
      <x:c r="H45" s="24" t="n">
        <x:f>H40-SUM(H43:H44)</x:f>
        <x:v>1264114.3032355006</x:v>
      </x:c>
      <x:c r="I45" s="24" t="n">
        <x:f>I40-SUM(I43:I44)</x:f>
        <x:v>3228111.7545054015</x:v>
      </x:c>
      <x:c r="J45" s="24" t="n">
        <x:f>J40-SUM(J43:J44)</x:f>
        <x:v>6257910.610752918</x:v>
      </x:c>
      <x:c r="K45" s="1"/>
      <x:c r="L45" s="1"/>
      <x:c r="M45" s="1"/>
    </x:row>
    <x:row r="46" ht="22" customHeight="1">
      <x:c r="A46" s="1"/>
      <x:c r="B46" s="1"/>
      <x:c r="C46" s="1"/>
      <x:c r="D46" s="6"/>
      <x:c r="E46" s="6"/>
      <x:c r="F46" s="6"/>
      <x:c r="G46" s="6"/>
      <x:c r="H46" s="6"/>
      <x:c r="I46" s="6"/>
      <x:c r="J46" s="6"/>
      <x:c r="K46" s="1"/>
      <x:c r="L46" s="1"/>
      <x:c r="M46" s="1"/>
    </x:row>
    <x:row r="47" ht="22" customHeight="1">
      <x:c r="A47" s="1"/>
      <x:c r="B47" s="1"/>
      <x:c r="C47" s="1" t="str">
        <x:v>Average paid employees</x:v>
      </x:c>
      <x:c r="D47" s="34" t="n">
        <x:f>'Assumptions'!D47</x:f>
        <x:v>3</x:v>
      </x:c>
      <x:c r="E47" s="34" t="n">
        <x:f>'Assumptions'!E47</x:f>
        <x:v>5</x:v>
      </x:c>
      <x:c r="F47" s="34" t="n">
        <x:f>'Assumptions'!F47</x:f>
        <x:v>8</x:v>
      </x:c>
      <x:c r="G47" s="34" t="n">
        <x:f>'Assumptions'!G47</x:f>
        <x:v>12</x:v>
      </x:c>
      <x:c r="H47" s="34" t="n">
        <x:f>'Assumptions'!H47</x:f>
        <x:v>18</x:v>
      </x:c>
      <x:c r="I47" s="34" t="n">
        <x:f>'Assumptions'!I47</x:f>
        <x:v>26</x:v>
      </x:c>
      <x:c r="J47" s="34" t="n">
        <x:f>'Assumptions'!J47</x:f>
        <x:v>36</x:v>
      </x:c>
      <x:c r="K47" s="1"/>
      <x:c r="L47" s="1"/>
      <x:c r="M47" s="1"/>
    </x:row>
    <x:row r="48" ht="22" customHeight="1">
      <x:c r="A48" s="1"/>
      <x:c r="B48" s="1"/>
      <x:c r="C48" s="1" t="str">
        <x:v>Loaded employee cost</x:v>
      </x:c>
      <x:c r="D48" s="35" t="n">
        <x:f>'Assumptions'!D52</x:f>
        <x:v>100000</x:v>
      </x:c>
      <x:c r="E48" s="35" t="n">
        <x:f>'Assumptions'!E52</x:f>
        <x:v>105000</x:v>
      </x:c>
      <x:c r="F48" s="35" t="n">
        <x:f>'Assumptions'!F52</x:f>
        <x:v>110000</x:v>
      </x:c>
      <x:c r="G48" s="35" t="n">
        <x:f>'Assumptions'!G52</x:f>
        <x:v>115000</x:v>
      </x:c>
      <x:c r="H48" s="35" t="n">
        <x:f>'Assumptions'!H52</x:f>
        <x:v>120000</x:v>
      </x:c>
      <x:c r="I48" s="35" t="n">
        <x:f>'Assumptions'!I52</x:f>
        <x:v>125000</x:v>
      </x:c>
      <x:c r="J48" s="35" t="n">
        <x:f>'Assumptions'!J52</x:f>
        <x:v>130000</x:v>
      </x:c>
      <x:c r="K48" s="1"/>
      <x:c r="L48" s="1"/>
      <x:c r="M48" s="1"/>
    </x:row>
    <x:row r="49" ht="22" customHeight="1">
      <x:c r="A49" s="1"/>
      <x:c r="B49" s="1"/>
      <x:c r="C49" s="1" t="str">
        <x:v>Payroll expense</x:v>
      </x:c>
      <x:c r="D49" s="22" t="n">
        <x:f>D47*D48</x:f>
        <x:v>300000</x:v>
      </x:c>
      <x:c r="E49" s="22" t="n">
        <x:f>E47*E48</x:f>
        <x:v>525000</x:v>
      </x:c>
      <x:c r="F49" s="22" t="n">
        <x:f>F47*F48</x:f>
        <x:v>880000</x:v>
      </x:c>
      <x:c r="G49" s="22" t="n">
        <x:f>G47*G48</x:f>
        <x:v>1380000</x:v>
      </x:c>
      <x:c r="H49" s="22" t="n">
        <x:f>H47*H48</x:f>
        <x:v>2160000</x:v>
      </x:c>
      <x:c r="I49" s="22" t="n">
        <x:f>I47*I48</x:f>
        <x:v>3250000</x:v>
      </x:c>
      <x:c r="J49" s="22" t="n">
        <x:f>J47*J48</x:f>
        <x:v>4680000</x:v>
      </x:c>
      <x:c r="K49" s="1"/>
      <x:c r="L49" s="1"/>
      <x:c r="M49" s="1"/>
    </x:row>
    <x:row r="50" ht="22" customHeight="1">
      <x:c r="A50" s="1"/>
      <x:c r="B50" s="1"/>
      <x:c r="C50" s="1" t="str">
        <x:v>Fixed overhead</x:v>
      </x:c>
      <x:c r="D50" s="35" t="n">
        <x:f>'Assumptions'!D57</x:f>
        <x:v>60000</x:v>
      </x:c>
      <x:c r="E50" s="35" t="n">
        <x:f>'Assumptions'!E57</x:f>
        <x:v>100000</x:v>
      </x:c>
      <x:c r="F50" s="35" t="n">
        <x:f>'Assumptions'!F57</x:f>
        <x:v>160000</x:v>
      </x:c>
      <x:c r="G50" s="35" t="n">
        <x:f>'Assumptions'!G57</x:f>
        <x:v>250000</x:v>
      </x:c>
      <x:c r="H50" s="35" t="n">
        <x:f>'Assumptions'!H57</x:f>
        <x:v>400000</x:v>
      </x:c>
      <x:c r="I50" s="35" t="n">
        <x:f>'Assumptions'!I57</x:f>
        <x:v>600000</x:v>
      </x:c>
      <x:c r="J50" s="35" t="n">
        <x:f>'Assumptions'!J57</x:f>
        <x:v>800000</x:v>
      </x:c>
      <x:c r="K50" s="1"/>
      <x:c r="L50" s="1"/>
      <x:c r="M50" s="1"/>
    </x:row>
    <x:row r="51" ht="22" customHeight="1">
      <x:c r="A51" s="1"/>
      <x:c r="B51" s="1"/>
      <x:c r="C51" s="4" t="str">
        <x:v>EBITDA</x:v>
      </x:c>
      <x:c r="D51" s="24" t="n">
        <x:f>D45-SUM(D49:D50)</x:f>
        <x:v>-365985.494375</x:v>
      </x:c>
      <x:c r="E51" s="24" t="n">
        <x:f>E45-SUM(E49:E50)</x:f>
        <x:v>-630691.1714999999</x:v>
      </x:c>
      <x:c r="F51" s="24" t="n">
        <x:f>F45-SUM(F49:F50)</x:f>
        <x:v>-993640.9991562499</x:v>
      </x:c>
      <x:c r="G51" s="24" t="n">
        <x:f>G45-SUM(G49:G50)</x:f>
        <x:v>-1292464.901211875</x:v>
      </x:c>
      <x:c r="H51" s="24" t="n">
        <x:f>H45-SUM(H49:H50)</x:f>
        <x:v>-1295885.6967644994</x:v>
      </x:c>
      <x:c r="I51" s="24" t="n">
        <x:f>I45-SUM(I49:I50)</x:f>
        <x:v>-621888.2454945985</x:v>
      </x:c>
      <x:c r="J51" s="24" t="n">
        <x:f>J45-SUM(J49:J50)</x:f>
        <x:v>777910.6107529178</x:v>
      </x:c>
      <x:c r="K51" s="1"/>
      <x:c r="L51" s="1"/>
      <x:c r="M51" s="1"/>
    </x:row>
    <x:row r="52" ht="22" customHeight="1">
      <x:c r="A52" s="1"/>
      <x:c r="B52" s="1"/>
      <x:c r="C52" s="1" t="str">
        <x:v>Depreciation</x:v>
      </x:c>
      <x:c r="D52" s="35" t="n">
        <x:f>SUMIFS($D57:D57,$D$5:D$5,"&gt;"&amp;(D$5-'Assumptions'!$D$91))/'Assumptions'!$D$91</x:f>
        <x:v>5000</x:v>
      </x:c>
      <x:c r="E52" s="35" t="n">
        <x:f>SUMIFS($D57:E57,$D$5:E$5,"&gt;"&amp;(E$5-'Assumptions'!$D$91))/'Assumptions'!$D$91</x:f>
        <x:v>13333.333333333334</x:v>
      </x:c>
      <x:c r="F52" s="35" t="n">
        <x:f>SUMIFS($D57:F57,$D$5:F$5,"&gt;"&amp;(F$5-'Assumptions'!$D$91))/'Assumptions'!$D$91</x:f>
        <x:v>26666.666666666668</x:v>
      </x:c>
      <x:c r="G52" s="35" t="n">
        <x:f>SUMIFS($D57:G57,$D$5:G$5,"&gt;"&amp;(G$5-'Assumptions'!$D$91))/'Assumptions'!$D$91</x:f>
        <x:v>41666.666666666664</x:v>
      </x:c>
      <x:c r="H52" s="35" t="n">
        <x:f>SUMIFS($D57:H57,$D$5:H$5,"&gt;"&amp;(H$5-'Assumptions'!$D$91))/'Assumptions'!$D$91</x:f>
        <x:v>63333.333333333336</x:v>
      </x:c>
      <x:c r="I52" s="35" t="n">
        <x:f>SUMIFS($D57:I57,$D$5:I$5,"&gt;"&amp;(I$5-'Assumptions'!$D$91))/'Assumptions'!$D$91</x:f>
        <x:v>93333.33333333333</x:v>
      </x:c>
      <x:c r="J52" s="35" t="n">
        <x:f>SUMIFS($D57:J57,$D$5:J$5,"&gt;"&amp;(J$5-'Assumptions'!$D$91))/'Assumptions'!$D$91</x:f>
        <x:v>133333.33333333334</x:v>
      </x:c>
      <x:c r="K52" s="1"/>
      <x:c r="L52" s="1"/>
      <x:c r="M52" s="1"/>
    </x:row>
    <x:row r="53" ht="22" customHeight="1">
      <x:c r="A53" s="1"/>
      <x:c r="B53" s="1"/>
      <x:c r="C53" s="4" t="str">
        <x:v>Operating profit / EBIT</x:v>
      </x:c>
      <x:c r="D53" s="24" t="n">
        <x:f>D51-D52</x:f>
        <x:v>-370985.494375</x:v>
      </x:c>
      <x:c r="E53" s="24" t="n">
        <x:f>E51-E52</x:f>
        <x:v>-644024.5048333333</x:v>
      </x:c>
      <x:c r="F53" s="24" t="n">
        <x:f>F51-F52</x:f>
        <x:v>-1020307.6658229165</x:v>
      </x:c>
      <x:c r="G53" s="24" t="n">
        <x:f>G51-G52</x:f>
        <x:v>-1334131.5678785418</x:v>
      </x:c>
      <x:c r="H53" s="24" t="n">
        <x:f>H51-H52</x:f>
        <x:v>-1359219.0300978327</x:v>
      </x:c>
      <x:c r="I53" s="24" t="n">
        <x:f>I51-I52</x:f>
        <x:v>-715221.5788279319</x:v>
      </x:c>
      <x:c r="J53" s="24" t="n">
        <x:f>J51-J52</x:f>
        <x:v>644577.2774195845</x:v>
      </x:c>
      <x:c r="K53" s="1"/>
      <x:c r="L53" s="1"/>
      <x:c r="M53" s="1"/>
    </x:row>
    <x:row r="54" ht="22" customHeight="1">
      <x:c r="A54" s="1"/>
      <x:c r="B54" s="1"/>
      <x:c r="C54" s="1" t="str">
        <x:v>Illustrative income taxes</x:v>
      </x:c>
      <x:c r="D54" s="35" t="n">
        <x:f>MAX(0,D53)*'Assumptions'!$D$89</x:f>
        <x:v>0</x:v>
      </x:c>
      <x:c r="E54" s="35" t="n">
        <x:f>MAX(0,E53)*'Assumptions'!$D$89</x:f>
        <x:v>0</x:v>
      </x:c>
      <x:c r="F54" s="35" t="n">
        <x:f>MAX(0,F53)*'Assumptions'!$D$89</x:f>
        <x:v>0</x:v>
      </x:c>
      <x:c r="G54" s="35" t="n">
        <x:f>MAX(0,G53)*'Assumptions'!$D$89</x:f>
        <x:v>0</x:v>
      </x:c>
      <x:c r="H54" s="35" t="n">
        <x:f>MAX(0,H53)*'Assumptions'!$D$89</x:f>
        <x:v>0</x:v>
      </x:c>
      <x:c r="I54" s="35" t="n">
        <x:f>MAX(0,I53)*'Assumptions'!$D$89</x:f>
        <x:v>0</x:v>
      </x:c>
      <x:c r="J54" s="35" t="n">
        <x:f>MAX(0,J53)*'Assumptions'!$D$89</x:f>
        <x:v>161144.3193548961</x:v>
      </x:c>
      <x:c r="K54" s="1"/>
      <x:c r="L54" s="1"/>
      <x:c r="M54" s="1"/>
    </x:row>
    <x:row r="55" ht="22" customHeight="1">
      <x:c r="A55" s="1"/>
      <x:c r="B55" s="1"/>
      <x:c r="C55" s="4" t="str">
        <x:v>Net income proxy</x:v>
      </x:c>
      <x:c r="D55" s="24" t="n">
        <x:f>D53-D54</x:f>
        <x:v>-370985.494375</x:v>
      </x:c>
      <x:c r="E55" s="24" t="n">
        <x:f>E53-E54</x:f>
        <x:v>-644024.5048333333</x:v>
      </x:c>
      <x:c r="F55" s="24" t="n">
        <x:f>F53-F54</x:f>
        <x:v>-1020307.6658229165</x:v>
      </x:c>
      <x:c r="G55" s="24" t="n">
        <x:f>G53-G54</x:f>
        <x:v>-1334131.5678785418</x:v>
      </x:c>
      <x:c r="H55" s="24" t="n">
        <x:f>H53-H54</x:f>
        <x:v>-1359219.0300978327</x:v>
      </x:c>
      <x:c r="I55" s="24" t="n">
        <x:f>I53-I54</x:f>
        <x:v>-715221.5788279319</x:v>
      </x:c>
      <x:c r="J55" s="24" t="n">
        <x:f>J53-J54</x:f>
        <x:v>483432.95806468837</x:v>
      </x:c>
      <x:c r="K55" s="1"/>
      <x:c r="L55" s="1"/>
      <x:c r="M55" s="1"/>
    </x:row>
    <x:row r="56" ht="22" customHeight="1">
      <x:c r="A56" s="1"/>
      <x:c r="B56" s="1"/>
      <x:c r="C56" s="1"/>
      <x:c r="D56" s="6"/>
      <x:c r="E56" s="6"/>
      <x:c r="F56" s="6"/>
      <x:c r="G56" s="6"/>
      <x:c r="H56" s="6"/>
      <x:c r="I56" s="6"/>
      <x:c r="J56" s="6"/>
      <x:c r="K56" s="1"/>
      <x:c r="L56" s="1"/>
      <x:c r="M56" s="1"/>
    </x:row>
    <x:row r="57" ht="22" customHeight="1">
      <x:c r="A57" s="1"/>
      <x:c r="B57" s="1"/>
      <x:c r="C57" s="1" t="str">
        <x:v>Equipment capex</x:v>
      </x:c>
      <x:c r="D57" s="35" t="n">
        <x:f>'Assumptions'!D62</x:f>
        <x:v>15000</x:v>
      </x:c>
      <x:c r="E57" s="35" t="n">
        <x:f>'Assumptions'!E62</x:f>
        <x:v>25000</x:v>
      </x:c>
      <x:c r="F57" s="35" t="n">
        <x:f>'Assumptions'!F62</x:f>
        <x:v>40000</x:v>
      </x:c>
      <x:c r="G57" s="35" t="n">
        <x:f>'Assumptions'!G62</x:f>
        <x:v>60000</x:v>
      </x:c>
      <x:c r="H57" s="35" t="n">
        <x:f>'Assumptions'!H62</x:f>
        <x:v>90000</x:v>
      </x:c>
      <x:c r="I57" s="35" t="n">
        <x:f>'Assumptions'!I62</x:f>
        <x:v>130000</x:v>
      </x:c>
      <x:c r="J57" s="35" t="n">
        <x:f>'Assumptions'!J62</x:f>
        <x:v>180000</x:v>
      </x:c>
      <x:c r="K57" s="1"/>
      <x:c r="L57" s="1"/>
      <x:c r="M57" s="1"/>
    </x:row>
    <x:row r="58" ht="22" customHeight="1">
      <x:c r="A58" s="1"/>
      <x:c r="B58" s="1"/>
      <x:c r="C58" s="1" t="str">
        <x:v>Ending restricted risk cash</x:v>
      </x:c>
      <x:c r="D58" s="35" t="n">
        <x:f>D14*'Assumptions'!$D$90</x:f>
        <x:v>2565</x:v>
      </x:c>
      <x:c r="E58" s="35" t="n">
        <x:f>E14*'Assumptions'!$D$90</x:f>
        <x:v>16416</x:v>
      </x:c>
      <x:c r="F58" s="35" t="n">
        <x:f>F14*'Assumptions'!$D$90</x:f>
        <x:v>68100.75</x:v>
      </x:c>
      <x:c r="G58" s="35" t="n">
        <x:f>G14*'Assumptions'!$D$90</x:f>
        <x:v>217381.185</x:v>
      </x:c>
      <x:c r="H58" s="35" t="n">
        <x:f>H14*'Assumptions'!$D$90</x:f>
        <x:v>558654.948</x:v>
      </x:c>
      <x:c r="I58" s="35" t="n">
        <x:f>I14*'Assumptions'!$D$90</x:f>
        <x:v>1185643.9584000001</x:v>
      </x:c>
      <x:c r="J58" s="35" t="n">
        <x:f>J14*'Assumptions'!$D$90</x:f>
        <x:v>2179715.16672</x:v>
      </x:c>
      <x:c r="K58" s="1"/>
      <x:c r="L58" s="1"/>
      <x:c r="M58" s="1"/>
    </x:row>
    <x:row r="59" ht="22" customHeight="1">
      <x:c r="A59" s="1"/>
      <x:c r="B59" s="1"/>
      <x:c r="C59" s="1" t="str">
        <x:v>Increase in restricted cash</x:v>
      </x:c>
      <x:c r="D59" s="22" t="n">
        <x:f>D58-0</x:f>
        <x:v>2565</x:v>
      </x:c>
      <x:c r="E59" s="22" t="n">
        <x:f>E58-D58</x:f>
        <x:v>13851</x:v>
      </x:c>
      <x:c r="F59" s="22" t="n">
        <x:f>F58-E58</x:f>
        <x:v>51684.75</x:v>
      </x:c>
      <x:c r="G59" s="22" t="n">
        <x:f>G58-F58</x:f>
        <x:v>149280.435</x:v>
      </x:c>
      <x:c r="H59" s="22" t="n">
        <x:f>H58-G58</x:f>
        <x:v>341273.763</x:v>
      </x:c>
      <x:c r="I59" s="22" t="n">
        <x:f>I58-H58</x:f>
        <x:v>626989.0104000001</x:v>
      </x:c>
      <x:c r="J59" s="22" t="n">
        <x:f>J58-I58</x:f>
        <x:v>994071.20832</x:v>
      </x:c>
      <x:c r="K59" s="1"/>
      <x:c r="L59" s="1"/>
      <x:c r="M59" s="1"/>
    </x:row>
    <x:row r="60" ht="22" customHeight="1">
      <x:c r="A60" s="1"/>
      <x:c r="B60" s="1"/>
      <x:c r="C60" s="4" t="str">
        <x:v>Free cash flow before financing</x:v>
      </x:c>
      <x:c r="D60" s="24" t="n">
        <x:f>D55+D52-D57-D59</x:f>
        <x:v>-383550.494375</x:v>
      </x:c>
      <x:c r="E60" s="24" t="n">
        <x:f>E55+E52-E57-E59</x:f>
        <x:v>-669542.1714999999</x:v>
      </x:c>
      <x:c r="F60" s="24" t="n">
        <x:f>F55+F52-F57-F59</x:f>
        <x:v>-1085325.74915625</x:v>
      </x:c>
      <x:c r="G60" s="24" t="n">
        <x:f>G55+G52-G57-G59</x:f>
        <x:v>-1501745.336211875</x:v>
      </x:c>
      <x:c r="H60" s="24" t="n">
        <x:f>H55+H52-H57-H59</x:f>
        <x:v>-1727159.4597644995</x:v>
      </x:c>
      <x:c r="I60" s="24" t="n">
        <x:f>I55+I52-I57-I59</x:f>
        <x:v>-1378877.2558945986</x:v>
      </x:c>
      <x:c r="J60" s="24" t="n">
        <x:f>J55+J52-J57-J59</x:f>
        <x:v>-557304.9169219782</x:v>
      </x:c>
      <x:c r="K60" s="1"/>
      <x:c r="L60" s="1"/>
      <x:c r="M60" s="1"/>
    </x:row>
    <x:row r="61" ht="22" customHeight="1">
      <x:c r="A61" s="1"/>
      <x:c r="B61" s="1"/>
      <x:c r="C61" s="1" t="str">
        <x:v>Cumulative free cash flow</x:v>
      </x:c>
      <x:c r="D61" s="22" t="n">
        <x:f>D60+0</x:f>
        <x:v>-383550.494375</x:v>
      </x:c>
      <x:c r="E61" s="22" t="n">
        <x:f>E60+D61</x:f>
        <x:v>-1053092.665875</x:v>
      </x:c>
      <x:c r="F61" s="22" t="n">
        <x:f>F60+E61</x:f>
        <x:v>-2138418.4150312496</x:v>
      </x:c>
      <x:c r="G61" s="22" t="n">
        <x:f>G60+F61</x:f>
        <x:v>-3640163.7512431247</x:v>
      </x:c>
      <x:c r="H61" s="22" t="n">
        <x:f>H60+G61</x:f>
        <x:v>-5367323.211007624</x:v>
      </x:c>
      <x:c r="I61" s="22" t="n">
        <x:f>I60+H61</x:f>
        <x:v>-6746200.4669022225</x:v>
      </x:c>
      <x:c r="J61" s="22" t="n">
        <x:f>J60+I61</x:f>
        <x:v>-7303505.3838242</x:v>
      </x:c>
      <x:c r="K61" s="1"/>
      <x:c r="L61" s="1"/>
      <x:c r="M61" s="1"/>
    </x:row>
    <x:row r="62" ht="22" customHeight="1">
      <x:c r="A62" s="1"/>
      <x:c r="B62" s="1"/>
      <x:c r="C62" s="1" t="str">
        <x:v>Peak cumulative funding deficit to date</x:v>
      </x:c>
      <x:c r="D62" s="22" t="n">
        <x:f>MAX(0,-MIN($D$61:D61))</x:f>
        <x:v>383550.494375</x:v>
      </x:c>
      <x:c r="E62" s="22" t="n">
        <x:f>MAX(0,-MIN($D$61:E61))</x:f>
        <x:v>1053092.665875</x:v>
      </x:c>
      <x:c r="F62" s="22" t="n">
        <x:f>MAX(0,-MIN($D$61:F61))</x:f>
        <x:v>2138418.4150312496</x:v>
      </x:c>
      <x:c r="G62" s="22" t="n">
        <x:f>MAX(0,-MIN($D$61:G61))</x:f>
        <x:v>3640163.7512431247</x:v>
      </x:c>
      <x:c r="H62" s="22" t="n">
        <x:f>MAX(0,-MIN($D$61:H61))</x:f>
        <x:v>5367323.211007624</x:v>
      </x:c>
      <x:c r="I62" s="22" t="n">
        <x:f>MAX(0,-MIN($D$61:I61))</x:f>
        <x:v>6746200.4669022225</x:v>
      </x:c>
      <x:c r="J62" s="22" t="n">
        <x:f>MAX(0,-MIN($D$61:J61))</x:f>
        <x:v>7303505.3838242</x:v>
      </x:c>
      <x:c r="K62" s="1"/>
      <x:c r="L62" s="1"/>
      <x:c r="M62" s="1"/>
    </x:row>
    <x:row r="63" ht="22" customHeight="1">
      <x:c r="A63" s="1"/>
      <x:c r="B63" s="1"/>
      <x:c r="C63" s="1" t="str">
        <x:v>Illustrative round 1 net financing</x:v>
      </x:c>
      <x:c r="D63" s="35" t="n">
        <x:f>'Assumptions'!$D$92-'Assumptions'!$D$93</x:f>
        <x:v>1475000</x:v>
      </x:c>
      <x:c r="E63" s="22" t="n">
        <x:f>0</x:f>
        <x:v>0</x:v>
      </x:c>
      <x:c r="F63" s="22" t="n">
        <x:f>0</x:f>
        <x:v>0</x:v>
      </x:c>
      <x:c r="G63" s="22" t="n">
        <x:f>0</x:f>
        <x:v>0</x:v>
      </x:c>
      <x:c r="H63" s="22" t="n">
        <x:f>0</x:f>
        <x:v>0</x:v>
      </x:c>
      <x:c r="I63" s="22" t="n">
        <x:f>0</x:f>
        <x:v>0</x:v>
      </x:c>
      <x:c r="J63" s="22" t="n">
        <x:f>0</x:f>
        <x:v>0</x:v>
      </x:c>
      <x:c r="K63" s="1"/>
      <x:c r="L63" s="1"/>
      <x:c r="M63" s="1"/>
    </x:row>
    <x:row r="64" ht="22" customHeight="1">
      <x:c r="A64" s="1"/>
      <x:c r="B64" s="1"/>
      <x:c r="C64" s="4" t="str">
        <x:v>Cash after illustrative round 1 only</x:v>
      </x:c>
      <x:c r="D64" s="24" t="n">
        <x:f>D60+D63+0</x:f>
        <x:v>1091449.505625</x:v>
      </x:c>
      <x:c r="E64" s="24" t="n">
        <x:f>E60+E63+D64</x:f>
        <x:v>421907.33412500005</x:v>
      </x:c>
      <x:c r="F64" s="24" t="n">
        <x:f>F60+F63+E64</x:f>
        <x:v>-663418.4150312499</x:v>
      </x:c>
      <x:c r="G64" s="24" t="n">
        <x:f>G60+G63+F64</x:f>
        <x:v>-2165163.7512431247</x:v>
      </x:c>
      <x:c r="H64" s="24" t="n">
        <x:f>H60+H63+G64</x:f>
        <x:v>-3892323.211007624</x:v>
      </x:c>
      <x:c r="I64" s="24" t="n">
        <x:f>I60+I63+H64</x:f>
        <x:v>-5271200.4669022225</x:v>
      </x:c>
      <x:c r="J64" s="24" t="n">
        <x:f>J60+J63+I64</x:f>
        <x:v>-5828505.3838242</x:v>
      </x:c>
      <x:c r="K64" s="1"/>
      <x:c r="L64" s="1"/>
      <x:c r="M64" s="1"/>
    </x:row>
    <x:row r="65" ht="22" customHeight="1">
      <x:c r="A65" s="1"/>
      <x:c r="B65" s="1"/>
      <x:c r="C65" s="1" t="str">
        <x:v>Six-month fixed-cost buffer</x:v>
      </x:c>
      <x:c r="D65" s="35" t="n">
        <x:f>SUM(D49:D50)*'Assumptions'!$D$94/12</x:f>
        <x:v>180000</x:v>
      </x:c>
      <x:c r="E65" s="35" t="n">
        <x:f>SUM(E49:E50)*'Assumptions'!$D$94/12</x:f>
        <x:v>312500</x:v>
      </x:c>
      <x:c r="F65" s="35" t="n">
        <x:f>SUM(F49:F50)*'Assumptions'!$D$94/12</x:f>
        <x:v>520000</x:v>
      </x:c>
      <x:c r="G65" s="35" t="n">
        <x:f>SUM(G49:G50)*'Assumptions'!$D$94/12</x:f>
        <x:v>815000</x:v>
      </x:c>
      <x:c r="H65" s="35" t="n">
        <x:f>SUM(H49:H50)*'Assumptions'!$D$94/12</x:f>
        <x:v>1280000</x:v>
      </x:c>
      <x:c r="I65" s="35" t="n">
        <x:f>SUM(I49:I50)*'Assumptions'!$D$94/12</x:f>
        <x:v>1925000</x:v>
      </x:c>
      <x:c r="J65" s="35" t="n">
        <x:f>SUM(J49:J50)*'Assumptions'!$D$94/12</x:f>
        <x:v>2740000</x:v>
      </x:c>
      <x:c r="K65" s="1"/>
      <x:c r="L65" s="1"/>
      <x:c r="M65" s="1"/>
    </x:row>
    <x:row r="66" ht="22" customHeight="1">
      <x:c r="A66" s="1"/>
      <x:c r="B66" s="1"/>
      <x:c r="C66" s="4" t="str">
        <x:v>Capital requirement incl. buffer</x:v>
      </x:c>
      <x:c r="D66" s="24" t="n">
        <x:f>D62+D65</x:f>
        <x:v>563550.494375</x:v>
      </x:c>
      <x:c r="E66" s="24" t="n">
        <x:f>E62+E65</x:f>
        <x:v>1365592.665875</x:v>
      </x:c>
      <x:c r="F66" s="24" t="n">
        <x:f>F62+F65</x:f>
        <x:v>2658418.4150312496</x:v>
      </x:c>
      <x:c r="G66" s="24" t="n">
        <x:f>G62+G65</x:f>
        <x:v>4455163.751243125</x:v>
      </x:c>
      <x:c r="H66" s="24" t="n">
        <x:f>H62+H65</x:f>
        <x:v>6647323.211007624</x:v>
      </x:c>
      <x:c r="I66" s="24" t="n">
        <x:f>I62+I65</x:f>
        <x:v>8671200.466902222</x:v>
      </x:c>
      <x:c r="J66" s="24" t="n">
        <x:f>J62+J65</x:f>
        <x:v>10043505.3838242</x:v>
      </x:c>
      <x:c r="K66" s="1"/>
      <x:c r="L66" s="1"/>
      <x:c r="M66" s="1"/>
    </x:row>
    <x:row r="67" ht="22" customHeight="1">
      <x:c r="A67" s="1"/>
      <x:c r="B67" s="1"/>
      <x:c r="C67" s="1"/>
      <x:c r="D67" s="6"/>
      <x:c r="E67" s="6"/>
      <x:c r="F67" s="6"/>
      <x:c r="G67" s="6"/>
      <x:c r="H67" s="6"/>
      <x:c r="I67" s="6"/>
      <x:c r="J67" s="6"/>
      <x:c r="K67" s="1"/>
      <x:c r="L67" s="1"/>
      <x:c r="M67" s="1"/>
    </x:row>
    <x:row r="68" ht="22" customHeight="1">
      <x:c r="A68" s="1"/>
      <x:c r="B68" s="1"/>
      <x:c r="C68" s="1" t="str">
        <x:v>Recurring contribution / paid job</x:v>
      </x:c>
      <x:c r="D68" s="36" t="n">
        <x:f>'Assumptions'!$D$70-(SUM(D29:D30)+SUM(D32:D33)+SUM(D36:D38))/D13-('Assumptions'!D32-'Assumptions'!$D$70)*'Assumptions'!$D$80</x:f>
        <x:v>0.33579078947368446</x:v>
      </x:c>
      <x:c r="E68" s="36" t="n">
        <x:f>'Assumptions'!$D$70-(SUM(E29:E30)+SUM(E32:E33)+SUM(E36:E38))/E13-('Assumptions'!E32-'Assumptions'!$D$70)*'Assumptions'!$D$80</x:f>
        <x:v>0.509366447368421</x:v>
      </x:c>
      <x:c r="F68" s="36" t="n">
        <x:f>'Assumptions'!$D$70-(SUM(F29:F30)+SUM(F32:F33)+SUM(F36:F38))/F13-('Assumptions'!F32-'Assumptions'!$D$70)*'Assumptions'!$D$80</x:f>
        <x:v>0.6685179973238182</x:v>
      </x:c>
      <x:c r="G68" s="36" t="n">
        <x:f>'Assumptions'!$D$70-(SUM(G29:G30)+SUM(G32:G33)+SUM(G36:G38))/G13-('Assumptions'!G32-'Assumptions'!$D$70)*'Assumptions'!$D$80</x:f>
        <x:v>0.824714920235047</x:v>
      </x:c>
      <x:c r="H68" s="36" t="n">
        <x:f>'Assumptions'!$D$70-(SUM(H29:H30)+SUM(H32:H33)+SUM(H36:H38))/H13-('Assumptions'!H32-'Assumptions'!$D$70)*'Assumptions'!$D$80</x:f>
        <x:v>0.9808521454575929</x:v>
      </x:c>
      <x:c r="I68" s="36" t="n">
        <x:f>'Assumptions'!$D$70-(SUM(I29:I30)+SUM(I32:I33)+SUM(I36:I38))/I13-('Assumptions'!I32-'Assumptions'!$D$70)*'Assumptions'!$D$80</x:f>
        <x:v>1.058781818719248</x:v>
      </x:c>
      <x:c r="J68" s="36" t="n">
        <x:f>'Assumptions'!$D$70-(SUM(J29:J30)+SUM(J32:J33)+SUM(J36:J38))/J13-('Assumptions'!J32-'Assumptions'!$D$70)*'Assumptions'!$D$80</x:f>
        <x:v>1.1367172387460078</x:v>
      </x:c>
      <x:c r="K68" s="1"/>
      <x:c r="L68" s="1"/>
      <x:c r="M68" s="1"/>
    </x:row>
    <x:row r="69" ht="22" customHeight="1">
      <x:c r="A69" s="1"/>
      <x:c r="B69" s="1"/>
      <x:c r="C69" s="1" t="str">
        <x:v>Recurring contribution / retained household</x:v>
      </x:c>
      <x:c r="D69" s="36" t="n">
        <x:f>D68*'Assumptions'!D17*'Assumptions'!D27*'Assumptions'!D22</x:f>
        <x:v>5.742022500000004</x:v>
      </x:c>
      <x:c r="E69" s="36" t="n">
        <x:f>E68*'Assumptions'!E17*'Assumptions'!E27*'Assumptions'!E22</x:f>
        <x:v>8.710166249999999</x:v>
      </x:c>
      <x:c r="F69" s="36" t="n">
        <x:f>F68*'Assumptions'!F17*'Assumptions'!F27*'Assumptions'!F22</x:f>
        <x:v>11.43165775423729</x:v>
      </x:c>
      <x:c r="G69" s="36" t="n">
        <x:f>G68*'Assumptions'!G17*'Assumptions'!G27*'Assumptions'!G22</x:f>
        <x:v>14.102625136019306</x:v>
      </x:c>
      <x:c r="H69" s="36" t="n">
        <x:f>H68*'Assumptions'!H17*'Assumptions'!H27*'Assumptions'!H22</x:f>
        <x:v>16.77257168732484</x:v>
      </x:c>
      <x:c r="I69" s="36" t="n">
        <x:f>I68*'Assumptions'!I17*'Assumptions'!I27*'Assumptions'!I22</x:f>
        <x:v>18.105169100099136</x:v>
      </x:c>
      <x:c r="J69" s="36" t="n">
        <x:f>J68*'Assumptions'!J17*'Assumptions'!J27*'Assumptions'!J22</x:f>
        <x:v>19.437864782556733</x:v>
      </x:c>
      <x:c r="K69" s="1"/>
      <x:c r="L69" s="1"/>
      <x:c r="M69" s="1"/>
    </x:row>
    <x:row r="70" ht="22" customHeight="1">
      <x:c r="A70" s="1"/>
      <x:c r="B70" s="1"/>
      <x:c r="C70" s="1" t="str">
        <x:v>Gross fee revenue / GMV</x:v>
      </x:c>
      <x:c r="D70" s="13" t="n">
        <x:f>D26/D14</x:f>
        <x:v>0.1340438596491228</x:v>
      </x:c>
      <x:c r="E70" s="13" t="n">
        <x:f>E26/E14</x:f>
        <x:v>0.11685635964912282</x:v>
      </x:c>
      <x:c r="F70" s="13" t="n">
        <x:f>F26/F14</x:f>
        <x:v>0.10786485280999109</x:v>
      </x:c>
      <x:c r="G70" s="13" t="n">
        <x:f>G26/G14</x:f>
        <x:v>0.10033157447596028</x:v>
      </x:c>
      <x:c r="H70" s="13" t="n">
        <x:f>H26/H14</x:f>
        <x:v>0.0930628752651807</x:v>
      </x:c>
      <x:c r="I70" s="13" t="n">
        <x:f>I26/I14</x:f>
        <x:v>0.08687750008240584</x:v>
      </x:c>
      <x:c r="J70" s="13" t="n">
        <x:f>J26/J14</x:f>
        <x:v>0.0820819356155184</x:v>
      </x:c>
      <x:c r="K70" s="1"/>
      <x:c r="L70" s="1"/>
      <x:c r="M70" s="1"/>
    </x:row>
    <x:row r="71" ht="22" customHeight="1">
      <x:c r="A71" s="1"/>
      <x:c r="B71" s="1"/>
      <x:c r="C71" s="1"/>
      <x:c r="D71" s="6"/>
      <x:c r="E71" s="6"/>
      <x:c r="F71" s="6"/>
      <x:c r="G71" s="6"/>
      <x:c r="H71" s="6"/>
      <x:c r="I71" s="6"/>
      <x:c r="J71" s="6"/>
      <x:c r="K71" s="1"/>
      <x:c r="L71" s="1"/>
      <x:c r="M71" s="1"/>
    </x:row>
    <x:row r="72" ht="22" customHeight="1">
      <x:c r="A72" s="1"/>
      <x:c r="B72" s="1"/>
      <x:c r="C72" s="1" t="str">
        <x:v>Household balance check</x:v>
      </x:c>
      <x:c r="D72" s="37" t="n">
        <x:f>D6+D7-D9-D10</x:f>
        <x:v>0</x:v>
      </x:c>
      <x:c r="E72" s="37" t="n">
        <x:f>E6+E7-E9-E10</x:f>
        <x:v>0</x:v>
      </x:c>
      <x:c r="F72" s="37" t="n">
        <x:f>F6+F7-F9-F10</x:f>
        <x:v>0</x:v>
      </x:c>
      <x:c r="G72" s="37" t="n">
        <x:f>G6+G7-G9-G10</x:f>
        <x:v>0</x:v>
      </x:c>
      <x:c r="H72" s="37" t="n">
        <x:f>H6+H7-H9-H10</x:f>
        <x:v>0</x:v>
      </x:c>
      <x:c r="I72" s="37" t="n">
        <x:f>I6+I7-I9-I10</x:f>
        <x:v>-2.9103830456733704e-11</x:v>
      </x:c>
      <x:c r="J72" s="37" t="n">
        <x:f>J6+J7-J9-J10</x:f>
        <x:v>0</x:v>
      </x:c>
      <x:c r="K72" s="1"/>
      <x:c r="L72" s="1"/>
      <x:c r="M72" s="1"/>
    </x:row>
    <x:row r="73" ht="22" customHeight="1">
      <x:c r="A73" s="1"/>
      <x:c r="B73" s="1"/>
      <x:c r="C73" s="1" t="str">
        <x:v>Provider balance check</x:v>
      </x:c>
      <x:c r="D73" s="37" t="n">
        <x:f>D17+D19-D18</x:f>
        <x:v>0</x:v>
      </x:c>
      <x:c r="E73" s="37" t="n">
        <x:f>E17+E19-E18</x:f>
        <x:v>0</x:v>
      </x:c>
      <x:c r="F73" s="37" t="n">
        <x:f>F17+F19-F18</x:f>
        <x:v>0</x:v>
      </x:c>
      <x:c r="G73" s="37" t="n">
        <x:f>G17+G19-G18</x:f>
        <x:v>0</x:v>
      </x:c>
      <x:c r="H73" s="37" t="n">
        <x:f>H17+H19-H18</x:f>
        <x:v>0</x:v>
      </x:c>
      <x:c r="I73" s="37" t="n">
        <x:f>I17+I19-I18</x:f>
        <x:v>0</x:v>
      </x:c>
      <x:c r="J73" s="37" t="n">
        <x:f>J17+J19-J18</x:f>
        <x:v>0</x:v>
      </x:c>
      <x:c r="K73" s="1"/>
      <x:c r="L73" s="1"/>
      <x:c r="M73" s="1"/>
    </x:row>
    <x:row r="74" ht="22" customHeight="1">
      <x:c r="A74" s="1"/>
      <x:c r="B74" s="1"/>
      <x:c r="C74" s="1" t="str">
        <x:v>GMV settlement check</x:v>
      </x:c>
      <x:c r="D74" s="37" t="n">
        <x:f>D14-D26-D27</x:f>
        <x:v>0</x:v>
      </x:c>
      <x:c r="E74" s="37" t="n">
        <x:f>E14-E26-E27</x:f>
        <x:v>0</x:v>
      </x:c>
      <x:c r="F74" s="37" t="n">
        <x:f>F14-F26-F27</x:f>
        <x:v>0</x:v>
      </x:c>
      <x:c r="G74" s="37" t="n">
        <x:f>G14-G26-G27</x:f>
        <x:v>0</x:v>
      </x:c>
      <x:c r="H74" s="37" t="n">
        <x:f>H14-H26-H27</x:f>
        <x:v>0</x:v>
      </x:c>
      <x:c r="I74" s="37" t="n">
        <x:f>I14-I26-I27</x:f>
        <x:v>0</x:v>
      </x:c>
      <x:c r="J74" s="37" t="n">
        <x:f>J14-J26-J27</x:f>
        <x:v>0</x:v>
      </x:c>
      <x:c r="K74" s="1"/>
      <x:c r="L74" s="1"/>
      <x:c r="M74" s="1"/>
    </x:row>
    <x:row r="75" ht="22" customHeight="1">
      <x:c r="A75" s="1"/>
      <x:c r="B75" s="1"/>
      <x:c r="C75" s="1" t="str">
        <x:v>Revenue check</x:v>
      </x:c>
      <x:c r="D75" s="37" t="n">
        <x:f>D26-D24-D25</x:f>
        <x:v>-1.8189894035458565e-12</x:v>
      </x:c>
      <x:c r="E75" s="37" t="n">
        <x:f>E26-E24-E25</x:f>
        <x:v>1.4551915228366852e-11</x:v>
      </x:c>
      <x:c r="F75" s="37" t="n">
        <x:f>F26-F24-F25</x:f>
        <x:v>-5.820766091346741e-11</x:v>
      </x:c>
      <x:c r="G75" s="37" t="n">
        <x:f>G26-G24-G25</x:f>
        <x:v>-2.3283064365386963e-10</x:v>
      </x:c>
      <x:c r="H75" s="37" t="n">
        <x:f>H26-H24-H25</x:f>
        <x:v>4.656612873077393e-10</x:v>
      </x:c>
      <x:c r="I75" s="37" t="n">
        <x:f>I26-I24-I25</x:f>
        <x:v>0</x:v>
      </x:c>
      <x:c r="J75" s="37" t="n">
        <x:f>J26-J24-J25</x:f>
        <x:v>-1.862645149230957e-9</x:v>
      </x:c>
      <x:c r="K75" s="1"/>
      <x:c r="L75" s="1"/>
      <x:c r="M75" s="1"/>
    </x:row>
    <x:row r="76" ht="22" customHeight="1">
      <x:c r="A76" s="1"/>
      <x:c r="B76" s="1"/>
      <x:c r="C76" s="1" t="str">
        <x:v>Cash-flow bridge check</x:v>
      </x:c>
      <x:c r="D76" s="37" t="n">
        <x:f>D60-(D51-D54-D57-D59)</x:f>
        <x:v>0</x:v>
      </x:c>
      <x:c r="E76" s="37" t="n">
        <x:f>E60-(E51-E54-E57-E59)</x:f>
        <x:v>0</x:v>
      </x:c>
      <x:c r="F76" s="37" t="n">
        <x:f>F60-(F51-F54-F57-F59)</x:f>
        <x:v>0</x:v>
      </x:c>
      <x:c r="G76" s="37" t="n">
        <x:f>G60-(G51-G54-G57-G59)</x:f>
        <x:v>0</x:v>
      </x:c>
      <x:c r="H76" s="37" t="n">
        <x:f>H60-(H51-H54-H57-H59)</x:f>
        <x:v>0</x:v>
      </x:c>
      <x:c r="I76" s="37" t="n">
        <x:f>I60-(I51-I54-I57-I59)</x:f>
        <x:v>0</x:v>
      </x:c>
      <x:c r="J76" s="37" t="n">
        <x:f>J60-(J51-J54-J57-J59)</x:f>
        <x:v>0</x:v>
      </x:c>
      <x:c r="K76" s="1"/>
      <x:c r="L76" s="1"/>
      <x:c r="M76" s="1"/>
    </x:row>
    <x:row r="77" ht="22" customHeight="1">
      <x:c r="A77" s="1"/>
      <x:c r="B77" s="1"/>
      <x:c r="C77" s="1"/>
      <x:c r="D77" s="6"/>
      <x:c r="E77" s="6"/>
      <x:c r="F77" s="6"/>
      <x:c r="G77" s="6"/>
      <x:c r="H77" s="6"/>
      <x:c r="I77" s="6"/>
      <x:c r="J77" s="6"/>
      <x:c r="K77" s="1"/>
      <x:c r="L77" s="1"/>
      <x:c r="M77" s="1"/>
    </x:row>
    <x:row r="78" ht="22" customHeight="1">
      <x:c r="A78" s="1"/>
      <x:c r="B78" s="1"/>
      <x:c r="C78" s="1"/>
      <x:c r="D78" s="6"/>
      <x:c r="E78" s="6"/>
      <x:c r="F78" s="6"/>
      <x:c r="G78" s="6"/>
      <x:c r="H78" s="6"/>
      <x:c r="I78" s="6"/>
      <x:c r="J78" s="6"/>
      <x:c r="K78" s="1"/>
      <x:c r="L78" s="1"/>
      <x:c r="M78" s="1"/>
    </x:row>
    <x:row r="79" ht="22" customHeight="1">
      <x:c r="A79" s="1"/>
      <x:c r="B79" s="1"/>
      <x:c r="C79" s="31" t="str">
        <x:v>New households contribute half a service season. Retained households contribute a full season. One new pairing per new household. No fees on repeat pairings or on additional categories with the same provider.</x:v>
      </x:c>
      <x:c r="D79" s="32"/>
      <x:c r="E79" s="32"/>
      <x:c r="F79" s="32"/>
      <x:c r="G79" s="32"/>
      <x:c r="H79" s="32"/>
      <x:c r="I79" s="32"/>
      <x:c r="J79" s="32"/>
      <x:c r="K79" s="1"/>
      <x:c r="L79" s="1"/>
      <x:c r="M79" s="1"/>
    </x:row>
    <x:row r="80" ht="22" customHeight="1">
      <x:c r="A80" s="1"/>
      <x:c r="B80" s="1"/>
      <x:c r="C80" s="31"/>
      <x:c r="D80" s="32"/>
      <x:c r="E80" s="32"/>
      <x:c r="F80" s="32"/>
      <x:c r="G80" s="32"/>
      <x:c r="H80" s="32"/>
      <x:c r="I80" s="32"/>
      <x:c r="J80" s="32"/>
      <x:c r="K80" s="1"/>
      <x:c r="L80" s="1"/>
      <x:c r="M80" s="1"/>
    </x:row>
    <x:row r="81" ht="22" customHeight="1">
      <x:c r="A81" s="1"/>
      <x:c r="B81" s="1"/>
      <x:c r="C81" s="1"/>
      <x:c r="D81" s="6"/>
      <x:c r="E81" s="6"/>
      <x:c r="F81" s="6"/>
      <x:c r="G81" s="6"/>
      <x:c r="H81" s="6"/>
      <x:c r="I81" s="6"/>
      <x:c r="J81" s="6"/>
      <x:c r="K81" s="1"/>
      <x:c r="L81" s="1"/>
      <x:c r="M81" s="1"/>
    </x:row>
    <x:row r="82" ht="22" customHeight="1">
      <x:c r="A82" s="1"/>
      <x:c r="B82" s="1"/>
      <x:c r="C82" s="31" t="str">
        <x:v>Costs exclude provider labor, equipment and crew compensation because providers bear these costs. Net income is a planning proxy, with no debt, interest, NOL benefit or capitalized development.</x:v>
      </x:c>
      <x:c r="D82" s="32"/>
      <x:c r="E82" s="32"/>
      <x:c r="F82" s="32"/>
      <x:c r="G82" s="32"/>
      <x:c r="H82" s="32"/>
      <x:c r="I82" s="32"/>
      <x:c r="J82" s="32"/>
      <x:c r="K82" s="1"/>
      <x:c r="L82" s="1"/>
      <x:c r="M82" s="1"/>
    </x:row>
    <x:row r="83" ht="22" customHeight="1">
      <x:c r="A83" s="1"/>
      <x:c r="B83" s="1"/>
      <x:c r="C83" s="31"/>
      <x:c r="D83" s="32"/>
      <x:c r="E83" s="32"/>
      <x:c r="F83" s="32"/>
      <x:c r="G83" s="32"/>
      <x:c r="H83" s="32"/>
      <x:c r="I83" s="32"/>
      <x:c r="J83" s="32"/>
      <x:c r="K83" s="1"/>
      <x:c r="L83" s="1"/>
      <x:c r="M83" s="1"/>
    </x:row>
    <x:row r="84" ht="22" customHeight="1">
      <x:c r="A84" s="1"/>
      <x:c r="B84" s="1"/>
      <x:c r="C84" s="1"/>
      <x:c r="D84" s="6"/>
      <x:c r="E84" s="6"/>
      <x:c r="F84" s="6"/>
      <x:c r="G84" s="6"/>
      <x:c r="H84" s="6"/>
      <x:c r="I84" s="6"/>
      <x:c r="J84" s="6"/>
      <x:c r="K84" s="1"/>
      <x:c r="L84" s="1"/>
      <x:c r="M84" s="1"/>
    </x:row>
    <x:row r="85" ht="22" customHeight="1">
      <x:c r="A85" s="1"/>
      <x:c r="B85" s="1"/>
      <x:c r="C85" s="1"/>
      <x:c r="D85" s="6"/>
      <x:c r="E85" s="6"/>
      <x:c r="F85" s="6"/>
      <x:c r="G85" s="6"/>
      <x:c r="H85" s="6"/>
      <x:c r="I85" s="6"/>
      <x:c r="J85" s="6"/>
      <x:c r="K85" s="1"/>
      <x:c r="L85" s="1"/>
      <x:c r="M85" s="1"/>
    </x:row>
    <x:row r="86" ht="22" customHeight="1">
      <x:c r="A86" s="1"/>
      <x:c r="B86" s="1"/>
      <x:c r="C86" s="1"/>
      <x:c r="D86" s="6"/>
      <x:c r="E86" s="6"/>
      <x:c r="F86" s="6"/>
      <x:c r="G86" s="6"/>
      <x:c r="H86" s="6"/>
      <x:c r="I86" s="6"/>
      <x:c r="J86" s="6"/>
      <x:c r="K86" s="1"/>
      <x:c r="L86" s="1"/>
      <x:c r="M86" s="1"/>
    </x:row>
  </x:sheetData>
  <x:mergeCells>
    <x:mergeCell ref="C79:J80"/>
    <x:mergeCell ref="C82:J83"/>
  </x:mergeCells>
  <x:conditionalFormatting sqref="D72:J76">
    <x:cfRule type="expression" dxfId="1" priority="1">
      <x:formula>ABS(D72)&gt;0.000001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59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78" hidden="0" customWidth="1"/>
  </x:cols>
  <x:sheetData>
    <x:row r="1" ht="22" customHeight="1">
      <x:c r="A1" s="1"/>
      <x:c r="B1" s="1"/>
      <x:c r="C1"/>
      <x:c r="D1"/>
      <x:c r="E1"/>
      <x:c r="F1"/>
      <x:c r="G1"/>
      <x:c r="H1"/>
      <x:c r="I1"/>
      <x:c r="J1"/>
      <x:c r="K1" s="1"/>
      <x:c r="L1" s="1"/>
      <x:c r="M1" s="1"/>
    </x:row>
    <x:row r="2" ht="22" customHeight="1">
      <x:c r="A2" s="1"/>
      <x:c r="B2" s="1"/>
      <x:c r="C2" s="48" t="str">
        <x:v>YardMatch - Ownership and dilution</x:v>
      </x:c>
      <x:c r="D2"/>
      <x:c r="E2"/>
      <x:c r="F2"/>
      <x:c r="G2"/>
      <x:c r="H2"/>
      <x:c r="I2"/>
      <x:c r="J2"/>
      <x:c r="K2" s="1"/>
      <x:c r="L2" s="1"/>
      <x:c r="M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"/>
      <x:c r="B5" s="1"/>
      <x:c r="C5" s="49" t="str">
        <x:v>Owner</x:v>
      </x:c>
      <x:c r="D5" s="49" t="str">
        <x:v>Before financing</x:v>
      </x:c>
      <x:c r="E5" s="49" t="str">
        <x:v>After round 1</x:v>
      </x:c>
      <x:c r="F5" s="49" t="str">
        <x:v>After round 2</x:v>
      </x:c>
      <x:c r="G5" s="49" t="str">
        <x:v>After option pool</x:v>
      </x:c>
      <x:c r="H5" s="49"/>
      <x:c r="I5" s="49"/>
      <x:c r="J5" s="49"/>
      <x:c r="K5" s="1"/>
      <x:c r="L5" s="1"/>
      <x:c r="M5" s="1"/>
    </x:row>
    <x:row r="6" ht="22" customHeight="1">
      <x:c r="A6" s="1"/>
      <x:c r="B6" s="1"/>
      <x:c r="C6" s="1"/>
      <x:c r="D6" s="6"/>
      <x:c r="E6" s="6"/>
      <x:c r="F6" s="6"/>
      <x:c r="G6" s="6"/>
      <x:c r="H6" s="6"/>
      <x:c r="I6" s="6"/>
      <x:c r="J6" s="6"/>
      <x:c r="K6" s="1"/>
      <x:c r="L6" s="1"/>
      <x:c r="M6" s="1"/>
    </x:row>
    <x:row r="7" ht="22" customHeight="1">
      <x:c r="A7" s="1"/>
      <x:c r="B7" s="1"/>
      <x:c r="C7" s="1" t="str">
        <x:v>Patrick</x:v>
      </x:c>
      <x:c r="D7" s="42" t="n">
        <x:f>'Assumptions'!$D$95</x:f>
        <x:v>0.7</x:v>
      </x:c>
      <x:c r="E7" s="42" t="n">
        <x:f>D7*(1-'Assumptions'!$D$96)</x:f>
        <x:v>0.5599999999999999</x:v>
      </x:c>
      <x:c r="F7" s="42" t="n">
        <x:f>E7*(1-'Assumptions'!$D$97)</x:f>
        <x:v>0.44799999999999995</x:v>
      </x:c>
      <x:c r="G7" s="13" t="n">
        <x:f>F7*(1-$D$21)</x:f>
        <x:v>0.40319999999999995</x:v>
      </x:c>
      <x:c r="H7" s="6"/>
      <x:c r="I7" s="6"/>
      <x:c r="J7" s="6"/>
      <x:c r="K7" s="1"/>
      <x:c r="L7" s="1"/>
      <x:c r="M7" s="1"/>
    </x:row>
    <x:row r="8" ht="22" customHeight="1">
      <x:c r="A8" s="1"/>
      <x:c r="B8" s="1"/>
      <x:c r="C8" s="1" t="str">
        <x:v>Other initial owners</x:v>
      </x:c>
      <x:c r="D8" s="13" t="n">
        <x:f>1-D7</x:f>
        <x:v>0.30000000000000004</x:v>
      </x:c>
      <x:c r="E8" s="42" t="n">
        <x:f>D8*(1-'Assumptions'!$D$96)</x:f>
        <x:v>0.24000000000000005</x:v>
      </x:c>
      <x:c r="F8" s="42" t="n">
        <x:f>E8*(1-'Assumptions'!$D$97)</x:f>
        <x:v>0.19200000000000006</x:v>
      </x:c>
      <x:c r="G8" s="13" t="n">
        <x:f>F8*(1-$D$21)</x:f>
        <x:v>0.17280000000000006</x:v>
      </x:c>
      <x:c r="H8" s="6"/>
      <x:c r="I8" s="6"/>
      <x:c r="J8" s="6"/>
      <x:c r="K8" s="1"/>
      <x:c r="L8" s="1"/>
      <x:c r="M8" s="1"/>
    </x:row>
    <x:row r="9" ht="22" customHeight="1">
      <x:c r="A9" s="1"/>
      <x:c r="B9" s="1"/>
      <x:c r="C9" s="1" t="str">
        <x:v>Round 1 investors</x:v>
      </x:c>
      <x:c r="D9" s="39" t="n">
        <x:v>0</x:v>
      </x:c>
      <x:c r="E9" s="42" t="n">
        <x:f>'Assumptions'!$D$96</x:f>
        <x:v>0.2</x:v>
      </x:c>
      <x:c r="F9" s="42" t="n">
        <x:f>E9*(1-'Assumptions'!$D$97)</x:f>
        <x:v>0.16000000000000003</x:v>
      </x:c>
      <x:c r="G9" s="13" t="n">
        <x:f>F9*(1-$D$21)</x:f>
        <x:v>0.14400000000000004</x:v>
      </x:c>
      <x:c r="H9" s="6"/>
      <x:c r="I9" s="6"/>
      <x:c r="J9" s="6"/>
      <x:c r="K9" s="1"/>
      <x:c r="L9" s="1"/>
      <x:c r="M9" s="1"/>
    </x:row>
    <x:row r="10" ht="22" customHeight="1">
      <x:c r="A10" s="1"/>
      <x:c r="B10" s="1"/>
      <x:c r="C10" s="1" t="str">
        <x:v>Round 2 investors</x:v>
      </x:c>
      <x:c r="D10" s="39" t="n">
        <x:v>0</x:v>
      </x:c>
      <x:c r="E10" s="42" t="n">
        <x:f>D10*(1-'Assumptions'!$D$96)</x:f>
        <x:v>0</x:v>
      </x:c>
      <x:c r="F10" s="42" t="n">
        <x:f>'Assumptions'!$D$97</x:f>
        <x:v>0.2</x:v>
      </x:c>
      <x:c r="G10" s="13" t="n">
        <x:f>F10*(1-$D$21)</x:f>
        <x:v>0.18000000000000002</x:v>
      </x:c>
      <x:c r="H10" s="6"/>
      <x:c r="I10" s="6"/>
      <x:c r="J10" s="6"/>
      <x:c r="K10" s="1"/>
      <x:c r="L10" s="1"/>
      <x:c r="M10" s="1"/>
    </x:row>
    <x:row r="11" ht="22" customHeight="1">
      <x:c r="A11" s="1"/>
      <x:c r="B11" s="1"/>
      <x:c r="C11" s="1" t="str">
        <x:v>New option pool</x:v>
      </x:c>
      <x:c r="D11" s="39" t="n">
        <x:v>0</x:v>
      </x:c>
      <x:c r="E11" s="42" t="n">
        <x:f>D11*(1-'Assumptions'!$D$96)</x:f>
        <x:v>0</x:v>
      </x:c>
      <x:c r="F11" s="42" t="n">
        <x:f>E11*(1-'Assumptions'!$D$97)</x:f>
        <x:v>0</x:v>
      </x:c>
      <x:c r="G11" s="13" t="n">
        <x:f>$D$21</x:f>
        <x:v>0.1</x:v>
      </x:c>
      <x:c r="H11" s="6"/>
      <x:c r="I11" s="6"/>
      <x:c r="J11" s="6"/>
      <x:c r="K11" s="1"/>
      <x:c r="L11" s="1"/>
      <x:c r="M11" s="1"/>
    </x:row>
    <x:row r="12" ht="22" customHeight="1">
      <x:c r="A12" s="1"/>
      <x:c r="B12" s="1"/>
      <x:c r="C12" s="1" t="str">
        <x:v>Total ownership</x:v>
      </x:c>
      <x:c r="D12" s="13" t="n">
        <x:f>SUM(D7:D11)</x:f>
        <x:v>1</x:v>
      </x:c>
      <x:c r="E12" s="13" t="n">
        <x:f>SUM(E7:E11)</x:f>
        <x:v>1</x:v>
      </x:c>
      <x:c r="F12" s="13" t="n">
        <x:f>SUM(F7:F11)</x:f>
        <x:v>1</x:v>
      </x:c>
      <x:c r="G12" s="13" t="n">
        <x:f>SUM(G7:G11)</x:f>
        <x:v>1.0000000000000002</x:v>
      </x:c>
      <x:c r="H12" s="6"/>
      <x:c r="I12" s="6"/>
      <x:c r="J12" s="6"/>
      <x:c r="K12" s="1"/>
      <x:c r="L12" s="1"/>
      <x:c r="M12" s="1"/>
    </x:row>
    <x:row r="13" ht="22" customHeight="1">
      <x:c r="A13" s="1"/>
      <x:c r="B13" s="1"/>
      <x:c r="C13" s="1"/>
      <x:c r="D13" s="6"/>
      <x:c r="E13" s="6"/>
      <x:c r="F13" s="6"/>
      <x:c r="G13" s="6"/>
      <x:c r="H13" s="6"/>
      <x:c r="I13" s="6"/>
      <x:c r="J13" s="6"/>
      <x:c r="K13" s="1"/>
      <x:c r="L13" s="1"/>
      <x:c r="M13" s="1"/>
    </x:row>
    <x:row r="14" ht="22" customHeight="1">
      <x:c r="A14" s="1"/>
      <x:c r="B14" s="1"/>
      <x:c r="C14" s="1"/>
      <x:c r="D14" s="6"/>
      <x:c r="E14" s="6"/>
      <x:c r="F14" s="6"/>
      <x:c r="G14" s="6"/>
      <x:c r="H14" s="6"/>
      <x:c r="I14" s="6"/>
      <x:c r="J14" s="6"/>
      <x:c r="K14" s="1"/>
      <x:c r="L14" s="1"/>
      <x:c r="M14" s="1"/>
    </x:row>
    <x:row r="15" ht="22" customHeight="1">
      <x:c r="A15" s="1"/>
      <x:c r="B15" s="1"/>
      <x:c r="C15" s="1"/>
      <x:c r="D15" s="6"/>
      <x:c r="E15" s="6"/>
      <x:c r="F15" s="6"/>
      <x:c r="G15" s="6"/>
      <x:c r="H15" s="6"/>
      <x:c r="I15" s="6"/>
      <x:c r="J15" s="6"/>
      <x:c r="K15" s="1"/>
      <x:c r="L15" s="1"/>
      <x:c r="M15" s="1"/>
    </x:row>
    <x:row r="16" ht="22" customHeight="1">
      <x:c r="A16" s="1"/>
      <x:c r="B16" s="1"/>
      <x:c r="C16" s="1" t="str">
        <x:v>Illustrative round 1 proceeds</x:v>
      </x:c>
      <x:c r="D16" s="35" t="n">
        <x:f>'Assumptions'!$D$92</x:f>
        <x:v>1500000</x:v>
      </x:c>
      <x:c r="E16" s="6"/>
      <x:c r="F16" s="6"/>
      <x:c r="G16" s="6"/>
      <x:c r="H16" s="6"/>
      <x:c r="I16" s="6"/>
      <x:c r="J16" s="6"/>
      <x:c r="K16" s="1"/>
      <x:c r="L16" s="1"/>
      <x:c r="M16" s="1"/>
    </x:row>
    <x:row r="17" ht="22" customHeight="1">
      <x:c r="A17" s="1"/>
      <x:c r="B17" s="1"/>
      <x:c r="C17" s="1" t="str">
        <x:v>New investor share</x:v>
      </x:c>
      <x:c r="D17" s="42" t="n">
        <x:f>'Assumptions'!$D$96</x:f>
        <x:v>0.2</x:v>
      </x:c>
      <x:c r="E17" s="6"/>
      <x:c r="F17" s="6"/>
      <x:c r="G17" s="6"/>
      <x:c r="H17" s="6"/>
      <x:c r="I17" s="6"/>
      <x:c r="J17" s="6"/>
      <x:c r="K17" s="1"/>
      <x:c r="L17" s="1"/>
      <x:c r="M17" s="1"/>
    </x:row>
    <x:row r="18" ht="22" customHeight="1">
      <x:c r="A18" s="1"/>
      <x:c r="B18" s="1"/>
      <x:c r="C18" s="1" t="str">
        <x:v>Implied post-money valuation</x:v>
      </x:c>
      <x:c r="D18" s="22" t="n">
        <x:f>D16/D17</x:f>
        <x:v>7500000</x:v>
      </x:c>
      <x:c r="E18" s="6"/>
      <x:c r="F18" s="6"/>
      <x:c r="G18" s="6"/>
      <x:c r="H18" s="6"/>
      <x:c r="I18" s="6"/>
      <x:c r="J18" s="6"/>
      <x:c r="K18" s="1"/>
      <x:c r="L18" s="1"/>
      <x:c r="M18" s="1"/>
    </x:row>
    <x:row r="19" ht="22" customHeight="1">
      <x:c r="A19" s="1"/>
      <x:c r="B19" s="1"/>
      <x:c r="C19" s="1" t="str">
        <x:v>Implied pre-money valuation</x:v>
      </x:c>
      <x:c r="D19" s="22" t="n">
        <x:f>D18-D16</x:f>
        <x:v>6000000</x:v>
      </x:c>
      <x:c r="E19" s="6"/>
      <x:c r="F19" s="6"/>
      <x:c r="G19" s="6"/>
      <x:c r="H19" s="6"/>
      <x:c r="I19" s="6"/>
      <x:c r="J19" s="6"/>
      <x:c r="K19" s="1"/>
      <x:c r="L19" s="1"/>
      <x:c r="M19" s="1"/>
    </x:row>
    <x:row r="20" ht="22" customHeight="1">
      <x:c r="A20" s="1"/>
      <x:c r="B20" s="1"/>
      <x:c r="C20" s="1"/>
      <x:c r="D20" s="6"/>
      <x:c r="E20" s="6"/>
      <x:c r="F20" s="6"/>
      <x:c r="G20" s="6"/>
      <x:c r="H20" s="6"/>
      <x:c r="I20" s="6"/>
      <x:c r="J20" s="6"/>
      <x:c r="K20" s="1"/>
      <x:c r="L20" s="1"/>
      <x:c r="M20" s="1"/>
    </x:row>
    <x:row r="21" ht="22" customHeight="1">
      <x:c r="A21" s="1"/>
      <x:c r="B21" s="1"/>
      <x:c r="C21" s="1" t="str">
        <x:v>Optional pool after round 2</x:v>
      </x:c>
      <x:c r="D21" s="14" t="n">
        <x:v>0.1</x:v>
      </x:c>
      <x:c r="E21" s="6"/>
      <x:c r="F21" s="6"/>
      <x:c r="G21" s="6"/>
      <x:c r="H21" s="6"/>
      <x:c r="I21" s="6"/>
      <x:c r="J21" s="6"/>
      <x:c r="K21" s="1"/>
      <x:c r="L21" s="1"/>
      <x:c r="M21" s="1"/>
    </x:row>
    <x:row r="22" ht="22" customHeight="1">
      <x:c r="A22" s="1"/>
      <x:c r="B22" s="1"/>
      <x:c r="C22" s="1"/>
      <x:c r="D22" s="6"/>
      <x:c r="E22" s="6"/>
      <x:c r="F22" s="6"/>
      <x:c r="G22" s="6"/>
      <x:c r="H22" s="6"/>
      <x:c r="I22" s="6"/>
      <x:c r="J22" s="6"/>
      <x:c r="K22" s="1"/>
      <x:c r="L22" s="1"/>
      <x:c r="M22" s="1"/>
    </x:row>
    <x:row r="23" ht="22" customHeight="1">
      <x:c r="A23" s="1"/>
      <x:c r="B23" s="1"/>
      <x:c r="C23" s="1"/>
      <x:c r="D23" s="6"/>
      <x:c r="E23" s="6"/>
      <x:c r="F23" s="6"/>
      <x:c r="G23" s="6"/>
      <x:c r="H23" s="6"/>
      <x:c r="I23" s="6"/>
      <x:c r="J23" s="6"/>
      <x:c r="K23" s="1"/>
      <x:c r="L23" s="1"/>
      <x:c r="M23" s="1"/>
    </x:row>
    <x:row r="24" ht="22" customHeight="1">
      <x:c r="A24" s="1"/>
      <x:c r="B24" s="1"/>
      <x:c r="C24" s="31" t="str">
        <x:v>70% / 30% is the requested founding allocation before new investors. Each modeled financing issues new shares and dilutes every existing holder proportionately. The 30% is not reserved as the future investor pool.</x:v>
      </x:c>
      <x:c r="D24" s="32"/>
      <x:c r="E24" s="32"/>
      <x:c r="F24" s="32"/>
      <x:c r="G24" s="32"/>
      <x:c r="H24" s="32"/>
      <x:c r="I24" s="32"/>
      <x:c r="J24" s="32"/>
      <x:c r="K24" s="1"/>
      <x:c r="L24" s="1"/>
      <x:c r="M24" s="1"/>
    </x:row>
    <x:row r="25" ht="22" customHeight="1">
      <x:c r="A25" s="1"/>
      <x:c r="B25" s="1"/>
      <x:c r="C25" s="31"/>
      <x:c r="D25" s="32"/>
      <x:c r="E25" s="32"/>
      <x:c r="F25" s="32"/>
      <x:c r="G25" s="32"/>
      <x:c r="H25" s="32"/>
      <x:c r="I25" s="32"/>
      <x:c r="J25" s="32"/>
      <x:c r="K25" s="1"/>
      <x:c r="L25" s="1"/>
      <x:c r="M25" s="1"/>
    </x:row>
    <x:row r="26" ht="22" customHeight="1">
      <x:c r="A26" s="1"/>
      <x:c r="B26" s="1"/>
      <x:c r="C26" s="1"/>
      <x:c r="D26" s="6"/>
      <x:c r="E26" s="6"/>
      <x:c r="F26" s="6"/>
      <x:c r="G26" s="6"/>
      <x:c r="H26" s="6"/>
      <x:c r="I26" s="6"/>
      <x:c r="J26" s="6"/>
      <x:c r="K26" s="1"/>
      <x:c r="L26" s="1"/>
      <x:c r="M26" s="1"/>
    </x:row>
    <x:row r="27" ht="22" customHeight="1">
      <x:c r="A27" s="1"/>
      <x:c r="B27" s="1"/>
      <x:c r="C27" s="31" t="str">
        <x:v>Round 1 illustrates $1.50m for 20%. Round 2 illustrates 20% dilution only. These terms are not approved or supported by a priced-round valuation analysis.</x:v>
      </x:c>
      <x:c r="D27" s="32"/>
      <x:c r="E27" s="32"/>
      <x:c r="F27" s="32"/>
      <x:c r="G27" s="32"/>
      <x:c r="H27" s="32"/>
      <x:c r="I27" s="32"/>
      <x:c r="J27" s="32"/>
      <x:c r="K27" s="1"/>
      <x:c r="L27" s="1"/>
      <x:c r="M27" s="1"/>
    </x:row>
    <x:row r="28" ht="22" customHeight="1">
      <x:c r="A28" s="1"/>
      <x:c r="B28" s="1"/>
      <x:c r="C28" s="31"/>
      <x:c r="D28" s="32"/>
      <x:c r="E28" s="32"/>
      <x:c r="F28" s="32"/>
      <x:c r="G28" s="32"/>
      <x:c r="H28" s="32"/>
      <x:c r="I28" s="32"/>
      <x:c r="J28" s="32"/>
      <x:c r="K28" s="1"/>
      <x:c r="L28" s="1"/>
      <x:c r="M28" s="1"/>
    </x:row>
    <x:row r="29" ht="22" customHeight="1">
      <x:c r="A29" s="1"/>
      <x:c r="B29" s="1"/>
      <x:c r="C29" s="1"/>
      <x:c r="D29" s="6"/>
      <x:c r="E29" s="6"/>
      <x:c r="F29" s="6"/>
      <x:c r="G29" s="6"/>
      <x:c r="H29" s="6"/>
      <x:c r="I29" s="6"/>
      <x:c r="J29" s="6"/>
      <x:c r="K29" s="1"/>
      <x:c r="L29" s="1"/>
      <x:c r="M29" s="1"/>
    </x:row>
    <x:row r="30" ht="22" customHeight="1">
      <x:c r="A30" s="1"/>
      <x:c r="B30" s="1"/>
      <x:c r="C30" s="31" t="str">
        <x:v>Optional 10% post-round-2 pool shows additional dilution. No SAFEs, convertible notes, warrants, preferred rights or secondary sales. Economic ownership does not determine board or voting control.</x:v>
      </x:c>
      <x:c r="D30" s="32"/>
      <x:c r="E30" s="32"/>
      <x:c r="F30" s="32"/>
      <x:c r="G30" s="32"/>
      <x:c r="H30" s="32"/>
      <x:c r="I30" s="32"/>
      <x:c r="J30" s="32"/>
      <x:c r="K30" s="1"/>
      <x:c r="L30" s="1"/>
      <x:c r="M30" s="1"/>
    </x:row>
    <x:row r="31" ht="22" customHeight="1">
      <x:c r="A31" s="1"/>
      <x:c r="B31" s="1"/>
      <x:c r="C31" s="31"/>
      <x:c r="D31" s="32"/>
      <x:c r="E31" s="32"/>
      <x:c r="F31" s="32"/>
      <x:c r="G31" s="32"/>
      <x:c r="H31" s="32"/>
      <x:c r="I31" s="32"/>
      <x:c r="J31" s="32"/>
      <x:c r="K31" s="1"/>
      <x:c r="L31" s="1"/>
      <x:c r="M31" s="1"/>
    </x:row>
    <x:row r="32" ht="22" customHeight="1">
      <x:c r="A32" s="1"/>
      <x:c r="B32" s="1"/>
      <x:c r="C32" s="1"/>
      <x:c r="D32" s="6"/>
      <x:c r="E32" s="6"/>
      <x:c r="F32" s="6"/>
      <x:c r="G32" s="6"/>
      <x:c r="H32" s="6"/>
      <x:c r="I32" s="6"/>
      <x:c r="J32" s="6"/>
      <x:c r="K32" s="1"/>
      <x:c r="L32" s="1"/>
      <x:c r="M32" s="1"/>
    </x:row>
    <x:row r="33" ht="22" customHeight="1">
      <x:c r="A33" s="1"/>
      <x:c r="B33" s="1"/>
      <x:c r="C33" s="1"/>
      <x:c r="D33" s="6"/>
      <x:c r="E33" s="6"/>
      <x:c r="F33" s="6"/>
      <x:c r="G33" s="6"/>
      <x:c r="H33" s="6"/>
      <x:c r="I33" s="6"/>
      <x:c r="J33" s="6"/>
      <x:c r="K33" s="1"/>
      <x:c r="L33" s="1"/>
      <x:c r="M33" s="1"/>
    </x:row>
    <x:row r="34" ht="22" customHeight="1">
      <x:c r="A34" s="1"/>
      <x:c r="B34" s="1"/>
      <x:c r="C34" s="1" t="str">
        <x:v>Illustrative exit equity value</x:v>
      </x:c>
      <x:c r="D34" s="23" t="n">
        <x:v>0</x:v>
      </x:c>
      <x:c r="E34" s="23" t="n">
        <x:v>10000000</x:v>
      </x:c>
      <x:c r="F34" s="23" t="n">
        <x:v>50000000</x:v>
      </x:c>
      <x:c r="G34" s="23" t="n">
        <x:v>100000000</x:v>
      </x:c>
      <x:c r="H34" s="6"/>
      <x:c r="I34" s="6"/>
      <x:c r="J34" s="6"/>
      <x:c r="K34" s="1"/>
      <x:c r="L34" s="1"/>
      <x:c r="M34" s="1"/>
    </x:row>
    <x:row r="35" ht="22" customHeight="1">
      <x:c r="A35" s="1"/>
      <x:c r="B35" s="1"/>
      <x:c r="C35" s="1" t="str">
        <x:v>Round 1 gross proceeds, after round 2</x:v>
      </x:c>
      <x:c r="D35" s="22" t="n">
        <x:f>D34*$F$9</x:f>
        <x:v>0</x:v>
      </x:c>
      <x:c r="E35" s="22" t="n">
        <x:f>E34*$F$9</x:f>
        <x:v>1600000.0000000002</x:v>
      </x:c>
      <x:c r="F35" s="22" t="n">
        <x:f>F34*$F$9</x:f>
        <x:v>8000000.000000002</x:v>
      </x:c>
      <x:c r="G35" s="22" t="n">
        <x:f>G34*$F$9</x:f>
        <x:v>16000000.000000004</x:v>
      </x:c>
      <x:c r="H35" s="6"/>
      <x:c r="I35" s="6"/>
      <x:c r="J35" s="6"/>
      <x:c r="K35" s="1"/>
      <x:c r="L35" s="1"/>
      <x:c r="M35" s="1"/>
    </x:row>
    <x:row r="36" ht="22" customHeight="1">
      <x:c r="A36" s="1"/>
      <x:c r="B36" s="1"/>
      <x:c r="C36" s="1" t="str">
        <x:v>Round 1 gross investment multiple</x:v>
      </x:c>
      <x:c r="D36" s="43" t="n">
        <x:f>D35/$D$16</x:f>
        <x:v>0</x:v>
      </x:c>
      <x:c r="E36" s="43" t="n">
        <x:f>E35/$D$16</x:f>
        <x:v>1.0666666666666669</x:v>
      </x:c>
      <x:c r="F36" s="43" t="n">
        <x:f>F35/$D$16</x:f>
        <x:v>5.333333333333335</x:v>
      </x:c>
      <x:c r="G36" s="43" t="n">
        <x:f>G35/$D$16</x:f>
        <x:v>10.66666666666667</x:v>
      </x:c>
      <x:c r="H36" s="6"/>
      <x:c r="I36" s="6"/>
      <x:c r="J36" s="6"/>
      <x:c r="K36" s="1"/>
      <x:c r="L36" s="1"/>
      <x:c r="M36" s="1"/>
    </x:row>
    <x:row r="37" ht="22" customHeight="1">
      <x:c r="A37" s="1"/>
      <x:c r="B37" s="1"/>
      <x:c r="C37" s="1"/>
      <x:c r="D37" s="6"/>
      <x:c r="E37" s="6"/>
      <x:c r="F37" s="6"/>
      <x:c r="G37" s="6"/>
      <x:c r="H37" s="6"/>
      <x:c r="I37" s="6"/>
      <x:c r="J37" s="6"/>
      <x:c r="K37" s="1"/>
      <x:c r="L37" s="1"/>
      <x:c r="M37" s="1"/>
    </x:row>
    <x:row r="38" ht="22" customHeight="1">
      <x:c r="A38" s="1"/>
      <x:c r="B38" s="1"/>
      <x:c r="C38" s="1"/>
      <x:c r="D38" s="6"/>
      <x:c r="E38" s="6"/>
      <x:c r="F38" s="6"/>
      <x:c r="G38" s="6"/>
      <x:c r="H38" s="6"/>
      <x:c r="I38" s="6"/>
      <x:c r="J38" s="6"/>
      <x:c r="K38" s="1"/>
      <x:c r="L38" s="1"/>
      <x:c r="M38" s="1"/>
    </x:row>
    <x:row r="39" ht="22" customHeight="1">
      <x:c r="A39" s="1"/>
      <x:c r="B39" s="1"/>
      <x:c r="C39" s="31" t="str">
        <x:v>Return arithmetic only, not an exit forecast or comparable-company valuation. Uses 16% after round 2, excludes optional pool, taxes, fees, liquidation preferences and further dilution. Complete loss is possible.</x:v>
      </x:c>
      <x:c r="D39" s="32"/>
      <x:c r="E39" s="32"/>
      <x:c r="F39" s="32"/>
      <x:c r="G39" s="32"/>
      <x:c r="H39" s="32"/>
      <x:c r="I39" s="32"/>
      <x:c r="J39" s="32"/>
      <x:c r="K39" s="1"/>
      <x:c r="L39" s="1"/>
      <x:c r="M39" s="1"/>
    </x:row>
    <x:row r="40" ht="22" customHeight="1">
      <x:c r="A40" s="1"/>
      <x:c r="B40" s="1"/>
      <x:c r="C40" s="31"/>
      <x:c r="D40" s="32"/>
      <x:c r="E40" s="32"/>
      <x:c r="F40" s="32"/>
      <x:c r="G40" s="32"/>
      <x:c r="H40" s="32"/>
      <x:c r="I40" s="32"/>
      <x:c r="J40" s="32"/>
      <x:c r="K40" s="1"/>
      <x:c r="L40" s="1"/>
      <x:c r="M40" s="1"/>
    </x:row>
    <x:row r="41" ht="22" customHeight="1">
      <x:c r="A41" s="1"/>
      <x:c r="B41" s="1"/>
      <x:c r="C41" s="1"/>
      <x:c r="D41" s="6"/>
      <x:c r="E41" s="6"/>
      <x:c r="F41" s="6"/>
      <x:c r="G41" s="6"/>
      <x:c r="H41" s="6"/>
      <x:c r="I41" s="6"/>
      <x:c r="J41" s="6"/>
      <x:c r="K41" s="1"/>
      <x:c r="L41" s="1"/>
      <x:c r="M41" s="1"/>
    </x:row>
    <x:row r="42" ht="22" customHeight="1">
      <x:c r="A42" s="1"/>
      <x:c r="B42" s="1"/>
      <x:c r="C42" s="1"/>
      <x:c r="D42" s="6"/>
      <x:c r="E42" s="6"/>
      <x:c r="F42" s="6"/>
      <x:c r="G42" s="6"/>
      <x:c r="H42" s="6"/>
      <x:c r="I42" s="6"/>
      <x:c r="J42" s="6"/>
      <x:c r="K42" s="1"/>
      <x:c r="L42" s="1"/>
      <x:c r="M42" s="1"/>
    </x:row>
    <x:row r="43" ht="22" customHeight="1">
      <x:c r="A43" s="1"/>
      <x:c r="B43" s="1"/>
      <x:c r="C43" s="1"/>
      <x:c r="D43" s="6"/>
      <x:c r="E43" s="6"/>
      <x:c r="F43" s="6"/>
      <x:c r="G43" s="6"/>
      <x:c r="H43" s="6"/>
      <x:c r="I43" s="6"/>
      <x:c r="J43" s="6"/>
      <x:c r="K43" s="1"/>
      <x:c r="L43" s="1"/>
      <x:c r="M43" s="1"/>
    </x:row>
  </x:sheetData>
  <x:mergeCells>
    <x:mergeCell ref="C24:J25"/>
    <x:mergeCell ref="C27:J28"/>
    <x:mergeCell ref="C30:J31"/>
    <x:mergeCell ref="C39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59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78" hidden="0" customWidth="1"/>
  </x:cols>
  <x:sheetData>
    <x:row r="1" ht="22" customHeight="1">
      <x:c r="A1" s="1"/>
      <x:c r="B1" s="1"/>
      <x:c r="C1"/>
      <x:c r="D1"/>
      <x:c r="E1"/>
      <x:c r="F1"/>
      <x:c r="G1"/>
      <x:c r="H1"/>
      <x:c r="I1"/>
      <x:c r="J1"/>
      <x:c r="K1" s="1"/>
      <x:c r="L1" s="1"/>
      <x:c r="M1" s="1"/>
    </x:row>
    <x:row r="2" ht="22" customHeight="1">
      <x:c r="A2" s="1"/>
      <x:c r="B2" s="1"/>
      <x:c r="C2" s="48" t="str">
        <x:v>YardMatch - Repeat-service economics</x:v>
      </x:c>
      <x:c r="D2"/>
      <x:c r="E2"/>
      <x:c r="F2"/>
      <x:c r="G2"/>
      <x:c r="H2"/>
      <x:c r="I2"/>
      <x:c r="J2"/>
      <x:c r="K2" s="1"/>
      <x:c r="L2" s="1"/>
      <x:c r="M2" s="1"/>
    </x:row>
    <x:row r="3" ht="22" customHeight="1">
      <x:c r="A3" s="1"/>
      <x:c r="B3" s="1"/>
      <x:c r="C3" s="1" t="str">
        <x:v>Active case</x:v>
      </x:c>
      <x:c r="D3" s="33" t="str">
        <x:f>'Assumptions'!D3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"/>
      <x:c r="B5" s="1"/>
      <x:c r="C5" s="49" t="str">
        <x:v>Per paid repeat visit</x:v>
      </x:c>
      <x:c r="D5" s="49" t="str">
        <x:v>$40 job</x:v>
      </x:c>
      <x:c r="E5" s="49" t="str">
        <x:v>$60 job</x:v>
      </x:c>
      <x:c r="F5" s="49" t="str">
        <x:v>$100 job</x:v>
      </x:c>
      <x:c r="G5" s="49"/>
      <x:c r="H5" s="49"/>
      <x:c r="I5" s="49"/>
      <x:c r="J5" s="49"/>
      <x:c r="K5" s="1"/>
      <x:c r="L5" s="1"/>
      <x:c r="M5" s="1"/>
    </x:row>
    <x:row r="6" ht="22" customHeight="1">
      <x:c r="A6" s="1"/>
      <x:c r="B6" s="1"/>
      <x:c r="C6" s="1" t="str">
        <x:v>Service ticket / editable</x:v>
      </x:c>
      <x:c r="D6" s="20" t="n">
        <x:v>40</x:v>
      </x:c>
      <x:c r="E6" s="20" t="n">
        <x:v>60</x:v>
      </x:c>
      <x:c r="F6" s="20" t="n">
        <x:v>100</x:v>
      </x:c>
      <x:c r="G6" s="6"/>
      <x:c r="H6" s="6"/>
      <x:c r="I6" s="6"/>
      <x:c r="J6" s="6"/>
      <x:c r="K6" s="1"/>
      <x:c r="L6" s="1"/>
      <x:c r="M6" s="1"/>
    </x:row>
    <x:row r="7" ht="22" customHeight="1">
      <x:c r="A7" s="1"/>
      <x:c r="B7" s="1"/>
      <x:c r="C7" s="1" t="str">
        <x:v>Provider service fee</x:v>
      </x:c>
      <x:c r="D7" s="36" t="n">
        <x:f>'Assumptions'!$D$70</x:f>
        <x:v>2.99</x:v>
      </x:c>
      <x:c r="E7" s="36" t="n">
        <x:f>'Assumptions'!$D$70</x:f>
        <x:v>2.99</x:v>
      </x:c>
      <x:c r="F7" s="36" t="n">
        <x:f>'Assumptions'!$D$70</x:f>
        <x:v>2.99</x:v>
      </x:c>
      <x:c r="G7" s="6"/>
      <x:c r="H7" s="6"/>
      <x:c r="I7" s="6"/>
      <x:c r="J7" s="6"/>
      <x:c r="K7" s="1"/>
      <x:c r="L7" s="1"/>
      <x:c r="M7" s="1"/>
    </x:row>
    <x:row r="8" ht="22" customHeight="1">
      <x:c r="A8" s="1"/>
      <x:c r="B8" s="1"/>
      <x:c r="C8" s="1" t="str">
        <x:v>Card processing</x:v>
      </x:c>
      <x:c r="D8" s="36" t="n">
        <x:f>D6*'Assumptions'!$D$76+'Assumptions'!$D$77</x:f>
        <x:v>1.4600000000000002</x:v>
      </x:c>
      <x:c r="E8" s="36" t="n">
        <x:f>E6*'Assumptions'!$D$76+'Assumptions'!$D$77</x:f>
        <x:v>2.04</x:v>
      </x:c>
      <x:c r="F8" s="36" t="n">
        <x:f>F6*'Assumptions'!$D$76+'Assumptions'!$D$77</x:f>
        <x:v>3.2</x:v>
      </x:c>
      <x:c r="G8" s="6"/>
      <x:c r="H8" s="6"/>
      <x:c r="I8" s="6"/>
      <x:c r="J8" s="6"/>
      <x:c r="K8" s="1"/>
      <x:c r="L8" s="1"/>
      <x:c r="M8" s="1"/>
    </x:row>
    <x:row r="9" ht="22" customHeight="1">
      <x:c r="A9" s="1"/>
      <x:c r="B9" s="1"/>
      <x:c r="C9" s="1" t="str">
        <x:v>After card processing only</x:v>
      </x:c>
      <x:c r="D9" s="19" t="n">
        <x:f>D7-D8</x:f>
        <x:v>1.53</x:v>
      </x:c>
      <x:c r="E9" s="19" t="n">
        <x:f>E7-E8</x:f>
        <x:v>0.9500000000000002</x:v>
      </x:c>
      <x:c r="F9" s="19" t="n">
        <x:f>F7-F8</x:f>
        <x:v>-0.20999999999999996</x:v>
      </x:c>
      <x:c r="G9" s="6"/>
      <x:c r="H9" s="6"/>
      <x:c r="I9" s="6"/>
      <x:c r="J9" s="6"/>
      <x:c r="K9" s="1"/>
      <x:c r="L9" s="1"/>
      <x:c r="M9" s="1"/>
    </x:row>
    <x:row r="10" ht="22" customHeight="1">
      <x:c r="A10" s="1"/>
      <x:c r="B10" s="1"/>
      <x:c r="C10" s="1" t="str">
        <x:v>Payout volume cost</x:v>
      </x:c>
      <x:c r="D10" s="36" t="n">
        <x:f>(D6-D7)*'Assumptions'!$D$80</x:f>
        <x:v>0.092525</x:v>
      </x:c>
      <x:c r="E10" s="36" t="n">
        <x:f>(E6-E7)*'Assumptions'!$D$80</x:f>
        <x:v>0.14252499999999999</x:v>
      </x:c>
      <x:c r="F10" s="36" t="n">
        <x:f>(F6-F7)*'Assumptions'!$D$80</x:f>
        <x:v>0.24252500000000002</x:v>
      </x:c>
      <x:c r="G10" s="6"/>
      <x:c r="H10" s="6"/>
      <x:c r="I10" s="6"/>
      <x:c r="J10" s="6"/>
      <x:c r="K10" s="1"/>
      <x:c r="L10" s="1"/>
      <x:c r="M10" s="1"/>
    </x:row>
    <x:row r="11" ht="22" customHeight="1">
      <x:c r="A11" s="1"/>
      <x:c r="B11" s="1"/>
      <x:c r="C11" s="1" t="str">
        <x:v>Allocated account + payout fees</x:v>
      </x:c>
      <x:c r="D11" s="36" t="n">
        <x:f>('Operating model'!H32+'Operating model'!H33)/'Operating model'!H13</x:f>
        <x:v>0.0366228545424071</x:v>
      </x:c>
      <x:c r="E11" s="36" t="n">
        <x:f>('Operating model'!H32+'Operating model'!H33)/'Operating model'!H13</x:f>
        <x:v>0.0366228545424071</x:v>
      </x:c>
      <x:c r="F11" s="36" t="n">
        <x:f>('Operating model'!H32+'Operating model'!H33)/'Operating model'!H13</x:f>
        <x:v>0.0366228545424071</x:v>
      </x:c>
      <x:c r="G11" s="6"/>
      <x:c r="H11" s="6"/>
      <x:c r="I11" s="6"/>
      <x:c r="J11" s="6"/>
      <x:c r="K11" s="1"/>
      <x:c r="L11" s="1"/>
      <x:c r="M11" s="1"/>
    </x:row>
    <x:row r="12" ht="22" customHeight="1">
      <x:c r="A12" s="1"/>
      <x:c r="B12" s="1"/>
      <x:c r="C12" s="1" t="str">
        <x:v>Support + infrastructure</x:v>
      </x:c>
      <x:c r="D12" s="36" t="n">
        <x:f>'Assumptions'!$D$84+'Assumptions'!$D$85</x:f>
        <x:v>0.44999999999999996</x:v>
      </x:c>
      <x:c r="E12" s="36" t="n">
        <x:f>'Assumptions'!$D$84+'Assumptions'!$D$85</x:f>
        <x:v>0.44999999999999996</x:v>
      </x:c>
      <x:c r="F12" s="36" t="n">
        <x:f>'Assumptions'!$D$84+'Assumptions'!$D$85</x:f>
        <x:v>0.44999999999999996</x:v>
      </x:c>
      <x:c r="G12" s="6"/>
      <x:c r="H12" s="6"/>
      <x:c r="I12" s="6"/>
      <x:c r="J12" s="6"/>
      <x:c r="K12" s="1"/>
      <x:c r="L12" s="1"/>
      <x:c r="M12" s="1"/>
    </x:row>
    <x:row r="13" ht="22" customHeight="1">
      <x:c r="A13" s="1"/>
      <x:c r="B13" s="1"/>
      <x:c r="C13" s="1" t="str">
        <x:v>Net loss allowance</x:v>
      </x:c>
      <x:c r="D13" s="36" t="n">
        <x:f>D6*'Assumptions'!$D$86</x:f>
        <x:v>0.08</x:v>
      </x:c>
      <x:c r="E13" s="36" t="n">
        <x:f>E6*'Assumptions'!$D$86</x:f>
        <x:v>0.12</x:v>
      </x:c>
      <x:c r="F13" s="36" t="n">
        <x:f>F6*'Assumptions'!$D$86</x:f>
        <x:v>0.2</x:v>
      </x:c>
      <x:c r="G13" s="6"/>
      <x:c r="H13" s="6"/>
      <x:c r="I13" s="6"/>
      <x:c r="J13" s="6"/>
      <x:c r="K13" s="1"/>
      <x:c r="L13" s="1"/>
      <x:c r="M13" s="1"/>
    </x:row>
    <x:row r="14" ht="22" customHeight="1">
      <x:c r="A14" s="1"/>
      <x:c r="B14" s="1"/>
      <x:c r="C14" s="4" t="str">
        <x:v>Card-only contribution</x:v>
      </x:c>
      <x:c r="D14" s="21" t="n">
        <x:f>D9-SUM(D10:D13)</x:f>
        <x:v>0.870852145457593</x:v>
      </x:c>
      <x:c r="E14" s="21" t="n">
        <x:f>E9-SUM(E10:E13)</x:f>
        <x:v>0.2008521454575931</x:v>
      </x:c>
      <x:c r="F14" s="21" t="n">
        <x:f>F9-SUM(F10:F13)</x:f>
        <x:v>-1.139147854542407</x:v>
      </x:c>
      <x:c r="G14" s="6"/>
      <x:c r="H14" s="6"/>
      <x:c r="I14" s="6"/>
      <x:c r="J14" s="6"/>
      <x:c r="K14" s="1"/>
      <x:c r="L14" s="1"/>
      <x:c r="M14" s="1"/>
    </x:row>
    <x:row r="15" ht="22" customHeight="1">
      <x:c r="A15" s="1"/>
      <x:c r="B15" s="1"/>
      <x:c r="C15" s="1"/>
      <x:c r="D15" s="40"/>
      <x:c r="E15" s="40"/>
      <x:c r="F15" s="40"/>
      <x:c r="G15" s="6"/>
      <x:c r="H15" s="6"/>
      <x:c r="I15" s="6"/>
      <x:c r="J15" s="6"/>
      <x:c r="K15" s="1"/>
      <x:c r="L15" s="1"/>
      <x:c r="M15" s="1"/>
    </x:row>
    <x:row r="16" ht="22" customHeight="1">
      <x:c r="A16" s="1"/>
      <x:c r="B16" s="1"/>
      <x:c r="C16" s="1" t="str">
        <x:v>ACH processing</x:v>
      </x:c>
      <x:c r="D16" s="36" t="n">
        <x:f>MIN(D6*'Assumptions'!$D$78,'Assumptions'!$D$79)</x:f>
        <x:v>0.32</x:v>
      </x:c>
      <x:c r="E16" s="36" t="n">
        <x:f>MIN(E6*'Assumptions'!$D$78,'Assumptions'!$D$79)</x:f>
        <x:v>0.48</x:v>
      </x:c>
      <x:c r="F16" s="36" t="n">
        <x:f>MIN(F6*'Assumptions'!$D$78,'Assumptions'!$D$79)</x:f>
        <x:v>0.8</x:v>
      </x:c>
      <x:c r="G16" s="6"/>
      <x:c r="H16" s="6"/>
      <x:c r="I16" s="6"/>
      <x:c r="J16" s="6"/>
      <x:c r="K16" s="1"/>
      <x:c r="L16" s="1"/>
      <x:c r="M16" s="1"/>
    </x:row>
    <x:row r="17" ht="22" customHeight="1">
      <x:c r="A17" s="1"/>
      <x:c r="B17" s="1"/>
      <x:c r="C17" s="4" t="str">
        <x:v>ACH contribution before bank-link fee</x:v>
      </x:c>
      <x:c r="D17" s="21" t="n">
        <x:f>D7-D16-SUM(D10:D13)</x:f>
        <x:v>2.0108521454575934</x:v>
      </x:c>
      <x:c r="E17" s="21" t="n">
        <x:f>E7-E16-SUM(E10:E13)</x:f>
        <x:v>1.7608521454575932</x:v>
      </x:c>
      <x:c r="F17" s="21" t="n">
        <x:f>F7-F16-SUM(F10:F13)</x:f>
        <x:v>1.2608521454575934</x:v>
      </x:c>
      <x:c r="G17" s="6"/>
      <x:c r="H17" s="6"/>
      <x:c r="I17" s="6"/>
      <x:c r="J17" s="6"/>
      <x:c r="K17" s="1"/>
      <x:c r="L17" s="1"/>
      <x:c r="M17" s="1"/>
    </x:row>
    <x:row r="18" ht="22" customHeight="1">
      <x:c r="A18" s="1"/>
      <x:c r="B18" s="1"/>
      <x:c r="C18" s="1"/>
      <x:c r="D18" s="40"/>
      <x:c r="E18" s="40"/>
      <x:c r="F18" s="40"/>
      <x:c r="G18" s="6"/>
      <x:c r="H18" s="6"/>
      <x:c r="I18" s="6"/>
      <x:c r="J18" s="6"/>
      <x:c r="K18" s="1"/>
      <x:c r="L18" s="1"/>
      <x:c r="M18" s="1"/>
    </x:row>
    <x:row r="19" ht="22" customHeight="1">
      <x:c r="A19" s="1"/>
      <x:c r="B19" s="1"/>
      <x:c r="C19" s="4" t="str">
        <x:v>Break-even card ticket</x:v>
      </x:c>
      <x:c r="D19" s="45" t="n">
        <x:f>('Assumptions'!$D$70*(1+'Assumptions'!$D$80)-'Assumptions'!$D$77-D11-D12)/('Assumptions'!$D$76+'Assumptions'!$D$80+'Assumptions'!$D$86)</x:f>
        <x:v>65.99558643156995</x:v>
      </x:c>
      <x:c r="E19" s="46"/>
      <x:c r="F19" s="46"/>
      <x:c r="G19" s="6"/>
      <x:c r="H19" s="6"/>
      <x:c r="I19" s="6"/>
      <x:c r="J19" s="6"/>
      <x:c r="K19" s="1"/>
      <x:c r="L19" s="1"/>
      <x:c r="M19" s="1"/>
    </x:row>
    <x:row r="20" ht="22" customHeight="1">
      <x:c r="A20" s="1"/>
      <x:c r="B20" s="1"/>
      <x:c r="C20" s="1"/>
      <x:c r="D20" s="6"/>
      <x:c r="E20" s="6"/>
      <x:c r="F20" s="6"/>
      <x:c r="G20" s="6"/>
      <x:c r="H20" s="6"/>
      <x:c r="I20" s="6"/>
      <x:c r="J20" s="6"/>
      <x:c r="K20" s="1"/>
      <x:c r="L20" s="1"/>
      <x:c r="M20" s="1"/>
    </x:row>
    <x:row r="21" ht="22" customHeight="1">
      <x:c r="A21" s="1"/>
      <x:c r="B21" s="1"/>
      <x:c r="C21" s="1" t="str">
        <x:v>Illustrative mature-year cohort (2031)</x:v>
      </x:c>
      <x:c r="D21" s="6"/>
      <x:c r="E21" s="6"/>
      <x:c r="F21" s="6"/>
      <x:c r="G21" s="6"/>
      <x:c r="H21" s="6"/>
      <x:c r="I21" s="6"/>
      <x:c r="J21" s="6"/>
      <x:c r="K21" s="1"/>
      <x:c r="L21" s="1"/>
      <x:c r="M21" s="1"/>
    </x:row>
    <x:row r="22" ht="22" customHeight="1">
      <x:c r="A22" s="1"/>
      <x:c r="B22" s="1"/>
      <x:c r="C22" s="1" t="str">
        <x:v>Annual paid visits / retained household</x:v>
      </x:c>
      <x:c r="D22" s="44" t="n">
        <x:f>'Assumptions'!H17*'Assumptions'!H22*'Assumptions'!H27</x:f>
        <x:v>17.099999999999998</x:v>
      </x:c>
      <x:c r="E22" s="6"/>
      <x:c r="F22" s="6"/>
      <x:c r="G22" s="6"/>
      <x:c r="H22" s="6"/>
      <x:c r="I22" s="6"/>
      <x:c r="J22" s="6"/>
      <x:c r="K22" s="1"/>
      <x:c r="L22" s="1"/>
      <x:c r="M22" s="1"/>
    </x:row>
    <x:row r="23" ht="22" customHeight="1">
      <x:c r="A23" s="1"/>
      <x:c r="B23" s="1"/>
      <x:c r="C23" s="1" t="str">
        <x:v>Repeat contribution / visit (selected case)</x:v>
      </x:c>
      <x:c r="D23" s="36" t="n">
        <x:f>'Operating model'!H68</x:f>
        <x:v>0.9808521454575929</x:v>
      </x:c>
      <x:c r="E23" s="6"/>
      <x:c r="F23" s="6"/>
      <x:c r="G23" s="6"/>
      <x:c r="H23" s="6"/>
      <x:c r="I23" s="6"/>
      <x:c r="J23" s="6"/>
      <x:c r="K23" s="1"/>
      <x:c r="L23" s="1"/>
      <x:c r="M23" s="1"/>
    </x:row>
    <x:row r="24" ht="22" customHeight="1">
      <x:c r="A24" s="1"/>
      <x:c r="B24" s="1"/>
      <x:c r="C24" s="1" t="str">
        <x:v>Retention assumption</x:v>
      </x:c>
      <x:c r="D24" s="42" t="n">
        <x:f>'Assumptions'!H12</x:f>
        <x:v>0.8</x:v>
      </x:c>
      <x:c r="E24" s="6"/>
      <x:c r="F24" s="6"/>
      <x:c r="G24" s="6"/>
      <x:c r="H24" s="6"/>
      <x:c r="I24" s="6"/>
      <x:c r="J24" s="6"/>
      <x:c r="K24" s="1"/>
      <x:c r="L24" s="1"/>
      <x:c r="M24" s="1"/>
    </x:row>
    <x:row r="25" ht="22" customHeight="1">
      <x:c r="A25" s="1"/>
      <x:c r="B25" s="1"/>
      <x:c r="C25" s="1" t="str">
        <x:v>First-year paid visits / new household</x:v>
      </x:c>
      <x:c r="D25" s="44" t="n">
        <x:f>D22*'Assumptions'!$D$71</x:f>
        <x:v>8.549999999999999</x:v>
      </x:c>
      <x:c r="E25" s="6"/>
      <x:c r="F25" s="6"/>
      <x:c r="G25" s="6"/>
      <x:c r="H25" s="6"/>
      <x:c r="I25" s="6"/>
      <x:c r="J25" s="6"/>
      <x:c r="K25" s="1"/>
      <x:c r="L25" s="1"/>
      <x:c r="M25" s="1"/>
    </x:row>
    <x:row r="26" ht="22" customHeight="1">
      <x:c r="A26" s="1"/>
      <x:c r="B26" s="1"/>
      <x:c r="C26" s="1" t="str">
        <x:v>Net finder revenue / new household</x:v>
      </x:c>
      <x:c r="D26" s="36" t="n">
        <x:f>'Operating model'!H24/'Operating model'!H7</x:f>
        <x:v>43.90981363636364</x:v>
      </x:c>
      <x:c r="E26" s="6"/>
      <x:c r="F26" s="6"/>
      <x:c r="G26" s="6"/>
      <x:c r="H26" s="6"/>
      <x:c r="I26" s="6"/>
      <x:c r="J26" s="6"/>
      <x:c r="K26" s="1"/>
      <x:c r="L26" s="1"/>
      <x:c r="M26" s="1"/>
    </x:row>
    <x:row r="27" ht="22" customHeight="1">
      <x:c r="A27" s="1"/>
      <x:c r="B27" s="1"/>
      <x:c r="C27" s="1" t="str">
        <x:v>Provider onboarding / new household</x:v>
      </x:c>
      <x:c r="D27" s="36" t="n">
        <x:f>'Operating model'!H44/'Operating model'!H7</x:f>
        <x:v>1.8169772727272728</x:v>
      </x:c>
      <x:c r="E27" s="6"/>
      <x:c r="F27" s="6"/>
      <x:c r="G27" s="6"/>
      <x:c r="H27" s="6"/>
      <x:c r="I27" s="6"/>
      <x:c r="J27" s="6"/>
      <x:c r="K27" s="1"/>
      <x:c r="L27" s="1"/>
      <x:c r="M27" s="1"/>
    </x:row>
    <x:row r="28" ht="22" customHeight="1">
      <x:c r="A28" s="1"/>
      <x:c r="B28" s="1"/>
      <x:c r="C28" s="1" t="str">
        <x:v>Initial bank verification allowance</x:v>
      </x:c>
      <x:c r="D28" s="36" t="n">
        <x:f>'Assumptions'!H37*'Assumptions'!$D$83</x:f>
        <x:v>0.75</x:v>
      </x:c>
      <x:c r="E28" s="6"/>
      <x:c r="F28" s="6"/>
      <x:c r="G28" s="6"/>
      <x:c r="H28" s="6"/>
      <x:c r="I28" s="6"/>
      <x:c r="J28" s="6"/>
      <x:c r="K28" s="1"/>
      <x:c r="L28" s="1"/>
      <x:c r="M28" s="1"/>
    </x:row>
    <x:row r="29" ht="22" customHeight="1">
      <x:c r="A29" s="1"/>
      <x:c r="B29" s="1"/>
      <x:c r="C29" s="4" t="str">
        <x:v>Five-year contribution before customer CAC</x:v>
      </x:c>
      <x:c r="D29" s="21" t="n">
        <x:f>D26-D27-D28+D23*(D25+D22*(D24+D24^2+D24^3+D24^4))</x:f>
        <x:v>89.33922750408513</x:v>
      </x:c>
      <x:c r="E29" s="25"/>
      <x:c r="F29" s="25"/>
      <x:c r="G29" s="6"/>
      <x:c r="H29" s="6"/>
      <x:c r="I29" s="6"/>
      <x:c r="J29" s="6"/>
      <x:c r="K29" s="1"/>
      <x:c r="L29" s="1"/>
      <x:c r="M29" s="1"/>
    </x:row>
    <x:row r="30" ht="22" customHeight="1">
      <x:c r="A30" s="1"/>
      <x:c r="B30" s="1"/>
      <x:c r="C30" s="1" t="str">
        <x:v>Customer CAC</x:v>
      </x:c>
      <x:c r="D30" s="36" t="n">
        <x:f>'Assumptions'!H42</x:f>
        <x:v>35</x:v>
      </x:c>
      <x:c r="E30" s="6"/>
      <x:c r="F30" s="6"/>
      <x:c r="G30" s="6"/>
      <x:c r="H30" s="6"/>
      <x:c r="I30" s="6"/>
      <x:c r="J30" s="6"/>
      <x:c r="K30" s="1"/>
      <x:c r="L30" s="1"/>
      <x:c r="M30" s="1"/>
    </x:row>
    <x:row r="31" ht="22" customHeight="1">
      <x:c r="A31" s="1"/>
      <x:c r="B31" s="1"/>
      <x:c r="C31" s="4" t="str">
        <x:v>Five-year contribution / CAC</x:v>
      </x:c>
      <x:c r="D31" s="47" t="n">
        <x:f>D29/D30</x:f>
        <x:v>2.552549357259575</x:v>
      </x:c>
      <x:c r="E31" s="25"/>
      <x:c r="F31" s="25"/>
      <x:c r="G31" s="6"/>
      <x:c r="H31" s="6"/>
      <x:c r="I31" s="6"/>
      <x:c r="J31" s="6"/>
      <x:c r="K31" s="1"/>
      <x:c r="L31" s="1"/>
      <x:c r="M31" s="1"/>
    </x:row>
    <x:row r="32" ht="22" customHeight="1">
      <x:c r="A32" s="1"/>
      <x:c r="B32" s="1"/>
      <x:c r="C32" s="4" t="str">
        <x:v>First-year contribution after CAC</x:v>
      </x:c>
      <x:c r="D32" s="21" t="n">
        <x:f>D26-D27-D28+D23*D25-D30</x:f>
        <x:v>14.729122207298786</x:v>
      </x:c>
      <x:c r="E32" s="25"/>
      <x:c r="F32" s="25"/>
      <x:c r="G32" s="6"/>
      <x:c r="H32" s="6"/>
      <x:c r="I32" s="6"/>
      <x:c r="J32" s="6"/>
      <x:c r="K32" s="1"/>
      <x:c r="L32" s="1"/>
      <x:c r="M32" s="1"/>
    </x:row>
    <x:row r="33" ht="22" customHeight="1">
      <x:c r="A33" s="1"/>
      <x:c r="B33" s="1"/>
      <x:c r="C33" s="1"/>
      <x:c r="D33" s="6"/>
      <x:c r="E33" s="6"/>
      <x:c r="F33" s="6"/>
      <x:c r="G33" s="6"/>
      <x:c r="H33" s="6"/>
      <x:c r="I33" s="6"/>
      <x:c r="J33" s="6"/>
      <x:c r="K33" s="1"/>
      <x:c r="L33" s="1"/>
      <x:c r="M33" s="1"/>
    </x:row>
    <x:row r="34" ht="22" customHeight="1">
      <x:c r="A34" s="1"/>
      <x:c r="B34" s="1"/>
      <x:c r="C34" s="1"/>
      <x:c r="D34" s="6"/>
      <x:c r="E34" s="6"/>
      <x:c r="F34" s="6"/>
      <x:c r="G34" s="6"/>
      <x:c r="H34" s="6"/>
      <x:c r="I34" s="6"/>
      <x:c r="J34" s="6"/>
      <x:c r="K34" s="1"/>
      <x:c r="L34" s="1"/>
      <x:c r="M34" s="1"/>
    </x:row>
    <x:row r="35" ht="22" customHeight="1">
      <x:c r="A35" s="1"/>
      <x:c r="B35" s="1"/>
      <x:c r="C35" s="31" t="str">
        <x:v>Repeat contribution excludes new finder fees, acquisition, bank-link setup and fixed overhead. Account/payout allocation uses selected-case 2031 volumes. Ticket threshold includes variable losses and operating costs.</x:v>
      </x:c>
      <x:c r="D35" s="32"/>
      <x:c r="E35" s="32"/>
      <x:c r="F35" s="32"/>
      <x:c r="G35" s="32"/>
      <x:c r="H35" s="32"/>
      <x:c r="I35" s="32"/>
      <x:c r="J35" s="32"/>
      <x:c r="K35" s="1"/>
      <x:c r="L35" s="1"/>
      <x:c r="M35" s="1"/>
    </x:row>
    <x:row r="36" ht="22" customHeight="1">
      <x:c r="A36" s="1"/>
      <x:c r="B36" s="1"/>
      <x:c r="C36" s="31"/>
      <x:c r="D36" s="32"/>
      <x:c r="E36" s="32"/>
      <x:c r="F36" s="32"/>
      <x:c r="G36" s="32"/>
      <x:c r="H36" s="32"/>
      <x:c r="I36" s="32"/>
      <x:c r="J36" s="32"/>
      <x:c r="K36" s="1"/>
      <x:c r="L36" s="1"/>
      <x:c r="M36" s="1"/>
    </x:row>
    <x:row r="37" ht="22" customHeight="1">
      <x:c r="A37" s="1"/>
      <x:c r="B37" s="1"/>
      <x:c r="C37" s="1"/>
      <x:c r="D37" s="6"/>
      <x:c r="E37" s="6"/>
      <x:c r="F37" s="6"/>
      <x:c r="G37" s="6"/>
      <x:c r="H37" s="6"/>
      <x:c r="I37" s="6"/>
      <x:c r="J37" s="6"/>
      <x:c r="K37" s="1"/>
      <x:c r="L37" s="1"/>
      <x:c r="M37" s="1"/>
    </x:row>
    <x:row r="38" ht="22" customHeight="1">
      <x:c r="A38" s="1"/>
      <x:c r="B38" s="1"/>
      <x:c r="C38" s="31" t="str">
        <x:v>Five-year cohort is undiscounted contribution using constant 2031 selected-case economics and retention. It is not observed LTV. Initial acquisition and provider cost are explicit. No second finder fee.</x:v>
      </x:c>
      <x:c r="D38" s="32"/>
      <x:c r="E38" s="32"/>
      <x:c r="F38" s="32"/>
      <x:c r="G38" s="32"/>
      <x:c r="H38" s="32"/>
      <x:c r="I38" s="32"/>
      <x:c r="J38" s="32"/>
      <x:c r="K38" s="1"/>
      <x:c r="L38" s="1"/>
      <x:c r="M38" s="1"/>
    </x:row>
    <x:row r="39" ht="22" customHeight="1">
      <x:c r="A39" s="1"/>
      <x:c r="B39" s="1"/>
      <x:c r="C39" s="31"/>
      <x:c r="D39" s="32"/>
      <x:c r="E39" s="32"/>
      <x:c r="F39" s="32"/>
      <x:c r="G39" s="32"/>
      <x:c r="H39" s="32"/>
      <x:c r="I39" s="32"/>
      <x:c r="J39" s="32"/>
      <x:c r="K39" s="1"/>
      <x:c r="L39" s="1"/>
      <x:c r="M39" s="1"/>
    </x:row>
    <x:row r="40" ht="22" customHeight="1">
      <x:c r="A40" s="1"/>
      <x:c r="B40" s="1"/>
      <x:c r="C40" s="1"/>
      <x:c r="D40" s="6"/>
      <x:c r="E40" s="6"/>
      <x:c r="F40" s="6"/>
      <x:c r="G40" s="6"/>
      <x:c r="H40" s="6"/>
      <x:c r="I40" s="6"/>
      <x:c r="J40" s="6"/>
      <x:c r="K40" s="1"/>
      <x:c r="L40" s="1"/>
      <x:c r="M40" s="1"/>
    </x:row>
    <x:row r="41" ht="22" customHeight="1">
      <x:c r="A41" s="1"/>
      <x:c r="B41" s="1"/>
      <x:c r="C41" s="31" t="str">
        <x:v>ACH comparison excludes the one-time bank-link allowance. $2.99 provider-paid fee is deducted from the service price, so processing uses the whole service ticket, without a customer surcharge.</x:v>
      </x:c>
      <x:c r="D41" s="32"/>
      <x:c r="E41" s="32"/>
      <x:c r="F41" s="32"/>
      <x:c r="G41" s="32"/>
      <x:c r="H41" s="32"/>
      <x:c r="I41" s="32"/>
      <x:c r="J41" s="32"/>
      <x:c r="K41" s="1"/>
      <x:c r="L41" s="1"/>
      <x:c r="M41" s="1"/>
    </x:row>
    <x:row r="42" ht="22" customHeight="1">
      <x:c r="A42" s="1"/>
      <x:c r="B42" s="1"/>
      <x:c r="C42" s="31"/>
      <x:c r="D42" s="32"/>
      <x:c r="E42" s="32"/>
      <x:c r="F42" s="32"/>
      <x:c r="G42" s="32"/>
      <x:c r="H42" s="32"/>
      <x:c r="I42" s="32"/>
      <x:c r="J42" s="32"/>
      <x:c r="K42" s="1"/>
      <x:c r="L42" s="1"/>
      <x:c r="M42" s="1"/>
    </x:row>
    <x:row r="43" ht="22" customHeight="1">
      <x:c r="A43" s="1"/>
      <x:c r="B43" s="1"/>
      <x:c r="C43" s="1"/>
      <x:c r="D43" s="6"/>
      <x:c r="E43" s="6"/>
      <x:c r="F43" s="6"/>
      <x:c r="G43" s="6"/>
      <x:c r="H43" s="6"/>
      <x:c r="I43" s="6"/>
      <x:c r="J43" s="6"/>
      <x:c r="K43" s="1"/>
      <x:c r="L43" s="1"/>
      <x:c r="M43" s="1"/>
    </x:row>
    <x:row r="44" ht="22" customHeight="1">
      <x:c r="A44" s="1"/>
      <x:c r="B44" s="1"/>
      <x:c r="C44" s="1"/>
      <x:c r="D44" s="6"/>
      <x:c r="E44" s="6"/>
      <x:c r="F44" s="6"/>
      <x:c r="G44" s="6"/>
      <x:c r="H44" s="6"/>
      <x:c r="I44" s="6"/>
      <x:c r="J44" s="6"/>
      <x:c r="K44" s="1"/>
      <x:c r="L44" s="1"/>
      <x:c r="M44" s="1"/>
    </x:row>
    <x:row r="45" ht="22" customHeight="1">
      <x:c r="A45" s="1"/>
      <x:c r="B45" s="1"/>
      <x:c r="C45" s="1"/>
      <x:c r="D45" s="6"/>
      <x:c r="E45" s="6"/>
      <x:c r="F45" s="6"/>
      <x:c r="G45" s="6"/>
      <x:c r="H45" s="6"/>
      <x:c r="I45" s="6"/>
      <x:c r="J45" s="6"/>
      <x:c r="K45" s="1"/>
      <x:c r="L45" s="1"/>
      <x:c r="M45" s="1"/>
    </x:row>
    <x:row r="46" ht="22" customHeight="1">
      <x:c r="A46" s="1"/>
      <x:c r="B46" s="1"/>
      <x:c r="C46" s="1"/>
      <x:c r="D46" s="6"/>
      <x:c r="E46" s="6"/>
      <x:c r="F46" s="6"/>
      <x:c r="G46" s="6"/>
      <x:c r="H46" s="6"/>
      <x:c r="I46" s="6"/>
      <x:c r="J46" s="6"/>
      <x:c r="K46" s="1"/>
      <x:c r="L46" s="1"/>
      <x:c r="M46" s="1"/>
    </x:row>
    <x:row r="47" ht="22" customHeight="1">
      <x:c r="A47" s="1"/>
      <x:c r="B47" s="1"/>
      <x:c r="C47" s="1"/>
      <x:c r="D47" s="6"/>
      <x:c r="E47" s="6"/>
      <x:c r="F47" s="6"/>
      <x:c r="G47" s="6"/>
      <x:c r="H47" s="6"/>
      <x:c r="I47" s="6"/>
      <x:c r="J47" s="6"/>
      <x:c r="K47" s="1"/>
      <x:c r="L47" s="1"/>
      <x:c r="M47" s="1"/>
    </x:row>
    <x:row r="48" ht="22" customHeight="1">
      <x:c r="A48" s="1"/>
      <x:c r="B48" s="1"/>
      <x:c r="C48" s="1"/>
      <x:c r="D48" s="6"/>
      <x:c r="E48" s="6"/>
      <x:c r="F48" s="6"/>
      <x:c r="G48" s="6"/>
      <x:c r="H48" s="6"/>
      <x:c r="I48" s="6"/>
      <x:c r="J48" s="6"/>
      <x:c r="K48" s="1"/>
      <x:c r="L48" s="1"/>
      <x:c r="M48" s="1"/>
    </x:row>
  </x:sheetData>
  <x:mergeCells>
    <x:mergeCell ref="C35:J36"/>
    <x:mergeCell ref="C38:J39"/>
    <x:mergeCell ref="C41:J42"/>
  </x:mergeCells>
  <x:pageMargins left="0.7" right="0.7" top="0.75" bottom="0.75" header="0.3" footer="0.3"/>
</x:worksheet>
</file>